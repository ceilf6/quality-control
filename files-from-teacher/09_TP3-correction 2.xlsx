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aghelinejad/Documents/MCF-UTT/0-Mes enseignement/0Printemps/UTSEUS-FQ01/MSP-Mohsen/0-Qalité-2025/TD-fabrication/"/>
    </mc:Choice>
  </mc:AlternateContent>
  <xr:revisionPtr revIDLastSave="0" documentId="13_ncr:1_{6AB3C236-9E5A-6447-93E1-B054AED166DC}" xr6:coauthVersionLast="47" xr6:coauthVersionMax="47" xr10:uidLastSave="{00000000-0000-0000-0000-000000000000}"/>
  <bookViews>
    <workbookView xWindow="0" yWindow="580" windowWidth="25600" windowHeight="12680" activeTab="1" xr2:uid="{00000000-000D-0000-FFFF-FFFF00000000}"/>
  </bookViews>
  <sheets>
    <sheet name="Ex1" sheetId="1" r:id="rId1"/>
    <sheet name="EX2" sheetId="2" r:id="rId2"/>
    <sheet name="EX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" i="1" l="1"/>
  <c r="E95" i="1"/>
  <c r="D105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2" i="3"/>
  <c r="M3" i="3"/>
  <c r="M4" i="3"/>
  <c r="M5" i="3"/>
  <c r="M6" i="3"/>
  <c r="M7" i="3"/>
  <c r="M8" i="3"/>
  <c r="M1" i="3"/>
  <c r="L2" i="3"/>
  <c r="L3" i="3"/>
  <c r="L4" i="3"/>
  <c r="L5" i="3"/>
  <c r="L6" i="3"/>
  <c r="L7" i="3"/>
  <c r="L8" i="3"/>
  <c r="L1" i="3"/>
  <c r="D60" i="1" l="1"/>
  <c r="R18" i="1"/>
  <c r="Q18" i="1"/>
  <c r="D59" i="1" s="1"/>
  <c r="P18" i="1"/>
  <c r="D58" i="1" s="1"/>
  <c r="N36" i="1"/>
  <c r="O36" i="1"/>
  <c r="M36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9" i="1"/>
  <c r="N9" i="1"/>
  <c r="M9" i="1"/>
  <c r="S50" i="2"/>
  <c r="S49" i="2"/>
  <c r="S48" i="2"/>
  <c r="S47" i="2"/>
  <c r="N23" i="2"/>
  <c r="O23" i="2"/>
  <c r="M23" i="2"/>
  <c r="I50" i="2"/>
  <c r="I49" i="2"/>
  <c r="I48" i="2"/>
  <c r="I47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C26" i="2" s="1"/>
  <c r="O6" i="2"/>
  <c r="C28" i="2" s="1"/>
  <c r="E31" i="2" s="1"/>
  <c r="D32" i="2" s="1"/>
  <c r="N6" i="2"/>
  <c r="C27" i="2" s="1"/>
  <c r="D31" i="2" s="1"/>
  <c r="M6" i="2"/>
  <c r="O5" i="2"/>
  <c r="N5" i="2"/>
  <c r="M5" i="2"/>
  <c r="C42" i="2" l="1"/>
  <c r="C41" i="2"/>
  <c r="C40" i="2"/>
  <c r="C39" i="2"/>
  <c r="J53" i="1" l="1"/>
  <c r="J54" i="1"/>
  <c r="J52" i="1"/>
  <c r="J55" i="1"/>
  <c r="D47" i="1" l="1"/>
  <c r="D46" i="1"/>
  <c r="D45" i="1"/>
  <c r="D44" i="1"/>
</calcChain>
</file>

<file path=xl/sharedStrings.xml><?xml version="1.0" encoding="utf-8"?>
<sst xmlns="http://schemas.openxmlformats.org/spreadsheetml/2006/main" count="149" uniqueCount="70">
  <si>
    <t>Données</t>
  </si>
  <si>
    <t>N</t>
  </si>
  <si>
    <t>n</t>
  </si>
  <si>
    <t>Ti</t>
  </si>
  <si>
    <t>Ts</t>
  </si>
  <si>
    <t>Résultats échantillonage</t>
  </si>
  <si>
    <t>Xn</t>
  </si>
  <si>
    <t>Moy</t>
  </si>
  <si>
    <t>Ecart-type</t>
  </si>
  <si>
    <t>Etendu</t>
  </si>
  <si>
    <t>moyenne des écarts-types</t>
  </si>
  <si>
    <t>moyenne des étendues</t>
  </si>
  <si>
    <t>S</t>
  </si>
  <si>
    <t>R</t>
  </si>
  <si>
    <t>σ*</t>
  </si>
  <si>
    <t>gap</t>
  </si>
  <si>
    <t>1. b.Nous travaillons sur le tableau 18*10</t>
  </si>
  <si>
    <t>N/n</t>
  </si>
  <si>
    <t>n=10</t>
  </si>
  <si>
    <t>moyenne</t>
  </si>
  <si>
    <t>b10</t>
  </si>
  <si>
    <t>d10</t>
  </si>
  <si>
    <t>*La population est plus disperse</t>
  </si>
  <si>
    <t>Estimation de l'écart-type:</t>
  </si>
  <si>
    <t>De la table</t>
  </si>
  <si>
    <t xml:space="preserve">2. Cartes de contrôle </t>
  </si>
  <si>
    <t>2.a. Carte de contrôle des 10 premiers échantillons</t>
  </si>
  <si>
    <t>Carte de la moyenne</t>
  </si>
  <si>
    <t>Carte de l'écart-type</t>
  </si>
  <si>
    <t>LCs</t>
  </si>
  <si>
    <t>Bcs</t>
  </si>
  <si>
    <t>LCi</t>
  </si>
  <si>
    <t>Bci</t>
  </si>
  <si>
    <t>LSs</t>
  </si>
  <si>
    <t>Bss</t>
  </si>
  <si>
    <t>LSi</t>
  </si>
  <si>
    <t>Bsi</t>
  </si>
  <si>
    <t>B'cs</t>
  </si>
  <si>
    <t>B'ci</t>
  </si>
  <si>
    <t>B'ss</t>
  </si>
  <si>
    <t>B'si</t>
  </si>
  <si>
    <t>n=10 et N=10</t>
  </si>
  <si>
    <t>2.a. Carte de contrôle des 18 échantillons</t>
  </si>
  <si>
    <t>Moyenne</t>
  </si>
  <si>
    <t>Lci</t>
  </si>
  <si>
    <t>Lsi</t>
  </si>
  <si>
    <t>Carte de l'écart type</t>
  </si>
  <si>
    <t>ET</t>
  </si>
  <si>
    <t>ETMoy</t>
  </si>
  <si>
    <t>Carte de l'étendu</t>
  </si>
  <si>
    <t>RMoy</t>
  </si>
  <si>
    <t>Dcs</t>
  </si>
  <si>
    <t>Dci</t>
  </si>
  <si>
    <t>Dss</t>
  </si>
  <si>
    <t>Dsi</t>
  </si>
  <si>
    <t>D'cs</t>
  </si>
  <si>
    <t>D'ci</t>
  </si>
  <si>
    <t>D'ss</t>
  </si>
  <si>
    <t>D'si</t>
  </si>
  <si>
    <t>x-bar</t>
  </si>
  <si>
    <t>sigma</t>
  </si>
  <si>
    <t>X-moy</t>
  </si>
  <si>
    <t>S-bar</t>
  </si>
  <si>
    <t>R-bar</t>
  </si>
  <si>
    <t>LCS</t>
  </si>
  <si>
    <t>LCI</t>
  </si>
  <si>
    <t>D'CI</t>
  </si>
  <si>
    <t>D'CS</t>
  </si>
  <si>
    <t>D'SI</t>
  </si>
  <si>
    <t>D'SS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</si>
</sst>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65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6" borderId="0" applyNumberFormat="0" applyBorder="0" applyAlignment="0" applyProtection="0"/>
  </cellStyleXfs>
  <cellXfs count="71">
    <xf numFmtId="0" fontId="0" fillId="0" borderId="0" xfId="0"/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left" vertical="top"/>
    </xf>
    <xf numFmtId="0" fontId="3" fillId="0" borderId="4" xfId="0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3" fillId="0" borderId="12" xfId="0" applyFont="1" applyBorder="1"/>
    <xf numFmtId="0" fontId="6" fillId="0" borderId="12" xfId="0" applyFont="1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0" borderId="0" xfId="0" applyFont="1"/>
    <xf numFmtId="0" fontId="0" fillId="3" borderId="4" xfId="0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2" fontId="11" fillId="3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164" fontId="0" fillId="0" borderId="19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10" fontId="0" fillId="0" borderId="0" xfId="1" applyNumberFormat="1" applyFont="1" applyFill="1" applyBorder="1" applyAlignment="1">
      <alignment horizontal="center" vertical="center"/>
    </xf>
    <xf numFmtId="0" fontId="6" fillId="0" borderId="0" xfId="0" applyFont="1"/>
    <xf numFmtId="164" fontId="7" fillId="0" borderId="0" xfId="0" applyNumberFormat="1" applyFont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center"/>
    </xf>
    <xf numFmtId="164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/>
    </xf>
    <xf numFmtId="0" fontId="1" fillId="6" borderId="0" xfId="2"/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2" fillId="0" borderId="0" xfId="0" applyFont="1"/>
  </cellXfs>
  <cellStyles count="3">
    <cellStyle name="20 % - Accent4" xfId="2" builtinId="42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</a:t>
            </a:r>
            <a:r>
              <a:rPr lang="fr-FR" baseline="0"/>
              <a:t> de la moyenne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'Ex1'!$D$62</c:f>
              <c:strCache>
                <c:ptCount val="1"/>
                <c:pt idx="0">
                  <c:v>Moy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'Ex1'!$D$63:$D$72</c:f>
              <c:numCache>
                <c:formatCode>General</c:formatCode>
                <c:ptCount val="10"/>
                <c:pt idx="0">
                  <c:v>4.51</c:v>
                </c:pt>
                <c:pt idx="1">
                  <c:v>4.49</c:v>
                </c:pt>
                <c:pt idx="2">
                  <c:v>4.33</c:v>
                </c:pt>
                <c:pt idx="3">
                  <c:v>4.4099999999999993</c:v>
                </c:pt>
                <c:pt idx="4">
                  <c:v>4.42</c:v>
                </c:pt>
                <c:pt idx="5">
                  <c:v>4.2300000000000004</c:v>
                </c:pt>
                <c:pt idx="6">
                  <c:v>4.49</c:v>
                </c:pt>
                <c:pt idx="7">
                  <c:v>4.2699999999999996</c:v>
                </c:pt>
                <c:pt idx="8">
                  <c:v>4.42</c:v>
                </c:pt>
                <c:pt idx="9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0-47BF-ACBE-FCDB6D23EF59}"/>
            </c:ext>
          </c:extLst>
        </c:ser>
        <c:ser>
          <c:idx val="2"/>
          <c:order val="1"/>
          <c:tx>
            <c:strRef>
              <c:f>'Ex1'!$E$62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'Ex1'!$E$63:$E$72</c:f>
              <c:numCache>
                <c:formatCode>0.000</c:formatCode>
                <c:ptCount val="10"/>
                <c:pt idx="0">
                  <c:v>4.3519999999999994</c:v>
                </c:pt>
                <c:pt idx="1">
                  <c:v>4.3519999999999994</c:v>
                </c:pt>
                <c:pt idx="2">
                  <c:v>4.3519999999999994</c:v>
                </c:pt>
                <c:pt idx="3">
                  <c:v>4.3519999999999994</c:v>
                </c:pt>
                <c:pt idx="4">
                  <c:v>4.3519999999999994</c:v>
                </c:pt>
                <c:pt idx="5">
                  <c:v>4.3519999999999994</c:v>
                </c:pt>
                <c:pt idx="6">
                  <c:v>4.3519999999999994</c:v>
                </c:pt>
                <c:pt idx="7">
                  <c:v>4.3519999999999994</c:v>
                </c:pt>
                <c:pt idx="8">
                  <c:v>4.3519999999999994</c:v>
                </c:pt>
                <c:pt idx="9">
                  <c:v>4.3519999999999994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0-47BF-ACBE-FCDB6D23EF59}"/>
            </c:ext>
          </c:extLst>
        </c:ser>
        <c:ser>
          <c:idx val="3"/>
          <c:order val="2"/>
          <c:tx>
            <c:strRef>
              <c:f>'Ex1'!$F$62</c:f>
              <c:strCache>
                <c:ptCount val="1"/>
                <c:pt idx="0">
                  <c:v>LCs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'Ex1'!$F$63:$F$72</c:f>
              <c:numCache>
                <c:formatCode>0.000</c:formatCode>
                <c:ptCount val="10"/>
                <c:pt idx="0">
                  <c:v>4.5990865917433199</c:v>
                </c:pt>
                <c:pt idx="1">
                  <c:v>4.5990865917433155</c:v>
                </c:pt>
                <c:pt idx="2">
                  <c:v>4.5990865917433155</c:v>
                </c:pt>
                <c:pt idx="3">
                  <c:v>4.5990865917433155</c:v>
                </c:pt>
                <c:pt idx="4">
                  <c:v>4.5990865917433155</c:v>
                </c:pt>
                <c:pt idx="5">
                  <c:v>4.5990865917433155</c:v>
                </c:pt>
                <c:pt idx="6">
                  <c:v>4.5990865917433155</c:v>
                </c:pt>
                <c:pt idx="7">
                  <c:v>4.5990865917433155</c:v>
                </c:pt>
                <c:pt idx="8">
                  <c:v>4.5990865917433155</c:v>
                </c:pt>
                <c:pt idx="9">
                  <c:v>4.5990865917433155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B0-47BF-ACBE-FCDB6D23EF59}"/>
            </c:ext>
          </c:extLst>
        </c:ser>
        <c:ser>
          <c:idx val="4"/>
          <c:order val="3"/>
          <c:tx>
            <c:strRef>
              <c:f>'Ex1'!$G$62</c:f>
              <c:strCache>
                <c:ptCount val="1"/>
                <c:pt idx="0">
                  <c:v>LCi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'Ex1'!$G$63:$G$72</c:f>
              <c:numCache>
                <c:formatCode>0.000</c:formatCode>
                <c:ptCount val="10"/>
                <c:pt idx="0">
                  <c:v>4.1049134082566834</c:v>
                </c:pt>
                <c:pt idx="1">
                  <c:v>4.1049134082566834</c:v>
                </c:pt>
                <c:pt idx="2">
                  <c:v>4.1049134082566834</c:v>
                </c:pt>
                <c:pt idx="3">
                  <c:v>4.1049134082566834</c:v>
                </c:pt>
                <c:pt idx="4">
                  <c:v>4.1049134082566834</c:v>
                </c:pt>
                <c:pt idx="5">
                  <c:v>4.1049134082566834</c:v>
                </c:pt>
                <c:pt idx="6">
                  <c:v>4.1049134082566834</c:v>
                </c:pt>
                <c:pt idx="7">
                  <c:v>4.1049134082566834</c:v>
                </c:pt>
                <c:pt idx="8">
                  <c:v>4.1049134082566834</c:v>
                </c:pt>
                <c:pt idx="9">
                  <c:v>4.1049134082566834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B0-47BF-ACBE-FCDB6D23EF59}"/>
            </c:ext>
          </c:extLst>
        </c:ser>
        <c:ser>
          <c:idx val="5"/>
          <c:order val="4"/>
          <c:tx>
            <c:strRef>
              <c:f>'Ex1'!$H$62</c:f>
              <c:strCache>
                <c:ptCount val="1"/>
                <c:pt idx="0">
                  <c:v>LSs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'Ex1'!$H$63:$H$72</c:f>
              <c:numCache>
                <c:formatCode>0.000</c:formatCode>
                <c:ptCount val="10"/>
                <c:pt idx="0">
                  <c:v>4.5167243944955437</c:v>
                </c:pt>
                <c:pt idx="1">
                  <c:v>4.5167243944955437</c:v>
                </c:pt>
                <c:pt idx="2">
                  <c:v>4.5167243944955437</c:v>
                </c:pt>
                <c:pt idx="3">
                  <c:v>4.5167243944955437</c:v>
                </c:pt>
                <c:pt idx="4">
                  <c:v>4.5167243944955437</c:v>
                </c:pt>
                <c:pt idx="5">
                  <c:v>4.5167243944955437</c:v>
                </c:pt>
                <c:pt idx="6">
                  <c:v>4.5167243944955437</c:v>
                </c:pt>
                <c:pt idx="7">
                  <c:v>4.5167243944955437</c:v>
                </c:pt>
                <c:pt idx="8">
                  <c:v>4.5167243944955437</c:v>
                </c:pt>
                <c:pt idx="9">
                  <c:v>4.5167243944955437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B0-47BF-ACBE-FCDB6D23EF59}"/>
            </c:ext>
          </c:extLst>
        </c:ser>
        <c:ser>
          <c:idx val="6"/>
          <c:order val="5"/>
          <c:tx>
            <c:strRef>
              <c:f>'Ex1'!$I$62</c:f>
              <c:strCache>
                <c:ptCount val="1"/>
                <c:pt idx="0">
                  <c:v>LSi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'Ex1'!$I$63:$I$72</c:f>
              <c:numCache>
                <c:formatCode>0.000</c:formatCode>
                <c:ptCount val="10"/>
                <c:pt idx="0">
                  <c:v>4.1872756055044551</c:v>
                </c:pt>
                <c:pt idx="1">
                  <c:v>4.1872756055044551</c:v>
                </c:pt>
                <c:pt idx="2">
                  <c:v>4.1872756055044551</c:v>
                </c:pt>
                <c:pt idx="3">
                  <c:v>4.1872756055044551</c:v>
                </c:pt>
                <c:pt idx="4">
                  <c:v>4.1872756055044551</c:v>
                </c:pt>
                <c:pt idx="5">
                  <c:v>4.1872756055044551</c:v>
                </c:pt>
                <c:pt idx="6">
                  <c:v>4.1872756055044551</c:v>
                </c:pt>
                <c:pt idx="7">
                  <c:v>4.1872756055044551</c:v>
                </c:pt>
                <c:pt idx="8">
                  <c:v>4.1872756055044551</c:v>
                </c:pt>
                <c:pt idx="9">
                  <c:v>4.1872756055044551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B0-47BF-ACBE-FCDB6D23E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066447"/>
        <c:axId val="1456062703"/>
      </c:lineChart>
      <c:catAx>
        <c:axId val="1456066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6062703"/>
        <c:crosses val="autoZero"/>
        <c:auto val="1"/>
        <c:lblAlgn val="ctr"/>
        <c:lblOffset val="100"/>
        <c:noMultiLvlLbl val="0"/>
      </c:catAx>
      <c:valAx>
        <c:axId val="14560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606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</a:t>
            </a:r>
            <a:r>
              <a:rPr lang="fr-FR" baseline="0"/>
              <a:t> de l'écart-type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'Ex1'!$D$76</c:f>
              <c:strCache>
                <c:ptCount val="1"/>
                <c:pt idx="0">
                  <c:v>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'Ex1'!$D$77:$D$86</c:f>
              <c:numCache>
                <c:formatCode>0.00</c:formatCode>
                <c:ptCount val="10"/>
                <c:pt idx="0">
                  <c:v>0.17578395831246935</c:v>
                </c:pt>
                <c:pt idx="1">
                  <c:v>0.34770677301427416</c:v>
                </c:pt>
                <c:pt idx="2">
                  <c:v>0.25317977802344327</c:v>
                </c:pt>
                <c:pt idx="3">
                  <c:v>0.27000000000000007</c:v>
                </c:pt>
                <c:pt idx="4">
                  <c:v>0.20396078054371145</c:v>
                </c:pt>
                <c:pt idx="5">
                  <c:v>0.16155494421403521</c:v>
                </c:pt>
                <c:pt idx="6">
                  <c:v>0.22561028345356945</c:v>
                </c:pt>
                <c:pt idx="7">
                  <c:v>0.24103941586387909</c:v>
                </c:pt>
                <c:pt idx="8">
                  <c:v>0.2521904042583698</c:v>
                </c:pt>
                <c:pt idx="9">
                  <c:v>0.2729468812791237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7-47FF-89E0-17A07B0DFFB1}"/>
            </c:ext>
          </c:extLst>
        </c:ser>
        <c:ser>
          <c:idx val="2"/>
          <c:order val="2"/>
          <c:tx>
            <c:strRef>
              <c:f>'Ex1'!$E$76</c:f>
              <c:strCache>
                <c:ptCount val="1"/>
                <c:pt idx="0">
                  <c:v>ETMoy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'Ex1'!$E$77:$E$86</c:f>
              <c:numCache>
                <c:formatCode>0.000</c:formatCode>
                <c:ptCount val="10"/>
                <c:pt idx="0">
                  <c:v>0.24039732189628751</c:v>
                </c:pt>
                <c:pt idx="1">
                  <c:v>0.24039732189628751</c:v>
                </c:pt>
                <c:pt idx="2">
                  <c:v>0.24039732189628751</c:v>
                </c:pt>
                <c:pt idx="3">
                  <c:v>0.24039732189628751</c:v>
                </c:pt>
                <c:pt idx="4">
                  <c:v>0.24039732189628751</c:v>
                </c:pt>
                <c:pt idx="5">
                  <c:v>0.24039732189628751</c:v>
                </c:pt>
                <c:pt idx="6">
                  <c:v>0.24039732189628751</c:v>
                </c:pt>
                <c:pt idx="7">
                  <c:v>0.24039732189628751</c:v>
                </c:pt>
                <c:pt idx="8">
                  <c:v>0.24039732189628751</c:v>
                </c:pt>
                <c:pt idx="9">
                  <c:v>0.24039732189628751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67-47FF-89E0-17A07B0DFFB1}"/>
            </c:ext>
          </c:extLst>
        </c:ser>
        <c:ser>
          <c:idx val="3"/>
          <c:order val="3"/>
          <c:tx>
            <c:strRef>
              <c:f>'Ex1'!$F$76</c:f>
              <c:strCache>
                <c:ptCount val="1"/>
                <c:pt idx="0">
                  <c:v>LCs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'Ex1'!$F$77:$F$86</c:f>
              <c:numCache>
                <c:formatCode>0.000</c:formatCode>
                <c:ptCount val="10"/>
                <c:pt idx="0">
                  <c:v>0.43487875531038411</c:v>
                </c:pt>
                <c:pt idx="1">
                  <c:v>0.43487875531038411</c:v>
                </c:pt>
                <c:pt idx="2">
                  <c:v>0.43487875531038411</c:v>
                </c:pt>
                <c:pt idx="3">
                  <c:v>0.43487875531038411</c:v>
                </c:pt>
                <c:pt idx="4">
                  <c:v>0.43487875531038411</c:v>
                </c:pt>
                <c:pt idx="5">
                  <c:v>0.43487875531038411</c:v>
                </c:pt>
                <c:pt idx="6">
                  <c:v>0.43487875531038411</c:v>
                </c:pt>
                <c:pt idx="7">
                  <c:v>0.43487875531038411</c:v>
                </c:pt>
                <c:pt idx="8">
                  <c:v>0.43487875531038411</c:v>
                </c:pt>
                <c:pt idx="9">
                  <c:v>0.43487875531038411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67-47FF-89E0-17A07B0DFFB1}"/>
            </c:ext>
          </c:extLst>
        </c:ser>
        <c:ser>
          <c:idx val="4"/>
          <c:order val="4"/>
          <c:tx>
            <c:strRef>
              <c:f>'Ex1'!$G$76</c:f>
              <c:strCache>
                <c:ptCount val="1"/>
                <c:pt idx="0">
                  <c:v>LCi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'Ex1'!$G$77:$G$86</c:f>
              <c:numCache>
                <c:formatCode>0.000</c:formatCode>
                <c:ptCount val="10"/>
                <c:pt idx="0">
                  <c:v>8.8225817135937509E-2</c:v>
                </c:pt>
                <c:pt idx="1">
                  <c:v>8.8225817135937509E-2</c:v>
                </c:pt>
                <c:pt idx="2">
                  <c:v>8.8225817135937509E-2</c:v>
                </c:pt>
                <c:pt idx="3">
                  <c:v>8.8225817135937509E-2</c:v>
                </c:pt>
                <c:pt idx="4">
                  <c:v>8.8225817135937509E-2</c:v>
                </c:pt>
                <c:pt idx="5">
                  <c:v>8.8225817135937509E-2</c:v>
                </c:pt>
                <c:pt idx="6">
                  <c:v>8.8225817135937509E-2</c:v>
                </c:pt>
                <c:pt idx="7">
                  <c:v>8.8225817135937509E-2</c:v>
                </c:pt>
                <c:pt idx="8">
                  <c:v>8.8225817135937509E-2</c:v>
                </c:pt>
                <c:pt idx="9">
                  <c:v>8.8225817135937509E-2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67-47FF-89E0-17A07B0DFFB1}"/>
            </c:ext>
          </c:extLst>
        </c:ser>
        <c:ser>
          <c:idx val="5"/>
          <c:order val="5"/>
          <c:tx>
            <c:strRef>
              <c:f>'Ex1'!$H$76</c:f>
              <c:strCache>
                <c:ptCount val="1"/>
                <c:pt idx="0">
                  <c:v>LSs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'Ex1'!$H$77:$H$86</c:f>
              <c:numCache>
                <c:formatCode>0.000</c:formatCode>
                <c:ptCount val="10"/>
                <c:pt idx="0">
                  <c:v>0.35915359891305354</c:v>
                </c:pt>
                <c:pt idx="1">
                  <c:v>0.35915359891305354</c:v>
                </c:pt>
                <c:pt idx="2">
                  <c:v>0.35915359891305354</c:v>
                </c:pt>
                <c:pt idx="3">
                  <c:v>0.35915359891305354</c:v>
                </c:pt>
                <c:pt idx="4">
                  <c:v>0.35915359891305354</c:v>
                </c:pt>
                <c:pt idx="5">
                  <c:v>0.35915359891305354</c:v>
                </c:pt>
                <c:pt idx="6">
                  <c:v>0.35915359891305354</c:v>
                </c:pt>
                <c:pt idx="7">
                  <c:v>0.35915359891305354</c:v>
                </c:pt>
                <c:pt idx="8">
                  <c:v>0.35915359891305354</c:v>
                </c:pt>
                <c:pt idx="9">
                  <c:v>0.35915359891305354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67-47FF-89E0-17A07B0DFFB1}"/>
            </c:ext>
          </c:extLst>
        </c:ser>
        <c:ser>
          <c:idx val="6"/>
          <c:order val="6"/>
          <c:tx>
            <c:strRef>
              <c:f>'Ex1'!$I$76</c:f>
              <c:strCache>
                <c:ptCount val="1"/>
                <c:pt idx="0">
                  <c:v>LSi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'Ex1'!$I$77:$I$86</c:f>
              <c:numCache>
                <c:formatCode>0.000</c:formatCode>
                <c:ptCount val="10"/>
                <c:pt idx="0">
                  <c:v>0.13534369222760986</c:v>
                </c:pt>
                <c:pt idx="1">
                  <c:v>0.13534369222760986</c:v>
                </c:pt>
                <c:pt idx="2">
                  <c:v>0.13534369222760986</c:v>
                </c:pt>
                <c:pt idx="3">
                  <c:v>0.13534369222760986</c:v>
                </c:pt>
                <c:pt idx="4">
                  <c:v>0.13534369222760986</c:v>
                </c:pt>
                <c:pt idx="5">
                  <c:v>0.13534369222760986</c:v>
                </c:pt>
                <c:pt idx="6">
                  <c:v>0.13534369222760986</c:v>
                </c:pt>
                <c:pt idx="7">
                  <c:v>0.13534369222760986</c:v>
                </c:pt>
                <c:pt idx="8">
                  <c:v>0.13534369222760986</c:v>
                </c:pt>
                <c:pt idx="9">
                  <c:v>0.13534369222760986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67-47FF-89E0-17A07B0DF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519727"/>
        <c:axId val="13775218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'Ex1'!$C$76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'Ex1'!$C$77:$C$86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E67-47FF-89E0-17A07B0DFFB1}"/>
                  </c:ext>
                </c:extLst>
              </c15:ser>
            </c15:filteredLineSeries>
          </c:ext>
        </c:extLst>
      </c:lineChart>
      <c:catAx>
        <c:axId val="1377519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7521807"/>
        <c:crosses val="autoZero"/>
        <c:auto val="1"/>
        <c:lblAlgn val="ctr"/>
        <c:lblOffset val="100"/>
        <c:noMultiLvlLbl val="0"/>
      </c:catAx>
      <c:valAx>
        <c:axId val="13775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751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</a:t>
            </a:r>
            <a:r>
              <a:rPr lang="fr-FR" baseline="0"/>
              <a:t> de l'étendu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'Ex1'!$C$95:$C$104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'Ex1'!$D$95:$D$104</c:f>
              <c:numCache>
                <c:formatCode>General</c:formatCode>
                <c:ptCount val="10"/>
                <c:pt idx="0">
                  <c:v>0.59999999999999964</c:v>
                </c:pt>
                <c:pt idx="1">
                  <c:v>1.2000000000000002</c:v>
                </c:pt>
                <c:pt idx="2">
                  <c:v>0.70000000000000018</c:v>
                </c:pt>
                <c:pt idx="3">
                  <c:v>1</c:v>
                </c:pt>
                <c:pt idx="4">
                  <c:v>0.60000000000000053</c:v>
                </c:pt>
                <c:pt idx="5">
                  <c:v>0.5</c:v>
                </c:pt>
                <c:pt idx="6">
                  <c:v>0.79999999999999982</c:v>
                </c:pt>
                <c:pt idx="7">
                  <c:v>0.80000000000000027</c:v>
                </c:pt>
                <c:pt idx="8">
                  <c:v>0.79999999999999982</c:v>
                </c:pt>
                <c:pt idx="9">
                  <c:v>0.90000000000000036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B-2D44-A34E-3E6816D1E14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'Ex1'!$C$95:$C$104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'Ex1'!$E$95:$E$104</c:f>
              <c:numCache>
                <c:formatCode>General</c:formatCode>
                <c:ptCount val="10"/>
                <c:pt idx="0">
                  <c:v>1.5326000000000002</c:v>
                </c:pt>
                <c:pt idx="1">
                  <c:v>1.5326000000000002</c:v>
                </c:pt>
                <c:pt idx="2">
                  <c:v>1.5326000000000002</c:v>
                </c:pt>
                <c:pt idx="3">
                  <c:v>1.5326000000000002</c:v>
                </c:pt>
                <c:pt idx="4">
                  <c:v>1.5326000000000002</c:v>
                </c:pt>
                <c:pt idx="5">
                  <c:v>1.5326000000000002</c:v>
                </c:pt>
                <c:pt idx="6">
                  <c:v>1.5326000000000002</c:v>
                </c:pt>
                <c:pt idx="7">
                  <c:v>1.5326000000000002</c:v>
                </c:pt>
                <c:pt idx="8">
                  <c:v>1.5326000000000002</c:v>
                </c:pt>
                <c:pt idx="9">
                  <c:v>1.5326000000000002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0B-2D44-A34E-3E6816D1E14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'Ex1'!$C$95:$C$104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'Ex1'!$F$95:$F$104</c:f>
              <c:numCache>
                <c:formatCode>General</c:formatCode>
                <c:ptCount val="10"/>
                <c:pt idx="0">
                  <c:v>0.27650000000000002</c:v>
                </c:pt>
                <c:pt idx="1">
                  <c:v>0.27650000000000002</c:v>
                </c:pt>
                <c:pt idx="2">
                  <c:v>0.27650000000000002</c:v>
                </c:pt>
                <c:pt idx="3">
                  <c:v>0.27650000000000002</c:v>
                </c:pt>
                <c:pt idx="4">
                  <c:v>0.27650000000000002</c:v>
                </c:pt>
                <c:pt idx="5">
                  <c:v>0.27650000000000002</c:v>
                </c:pt>
                <c:pt idx="6">
                  <c:v>0.27650000000000002</c:v>
                </c:pt>
                <c:pt idx="7">
                  <c:v>0.27650000000000002</c:v>
                </c:pt>
                <c:pt idx="8">
                  <c:v>0.27650000000000002</c:v>
                </c:pt>
                <c:pt idx="9">
                  <c:v>0.27650000000000002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0B-2D44-A34E-3E6816D1E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110720"/>
        <c:axId val="1779112960"/>
      </c:scatterChart>
      <c:valAx>
        <c:axId val="177911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9112960"/>
        <c:crosses val="autoZero"/>
        <c:crossBetween val="midCat"/>
      </c:valAx>
      <c:valAx>
        <c:axId val="17791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9110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de la moyenne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'EX2'!$B$54:$B$71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'EX2'!$C$54:$C$71</c:f>
              <c:numCache>
                <c:formatCode>General</c:formatCode>
                <c:ptCount val="18"/>
                <c:pt idx="0">
                  <c:v>4.51</c:v>
                </c:pt>
                <c:pt idx="1">
                  <c:v>4.49</c:v>
                </c:pt>
                <c:pt idx="2">
                  <c:v>4.33</c:v>
                </c:pt>
                <c:pt idx="3">
                  <c:v>4.4099999999999993</c:v>
                </c:pt>
                <c:pt idx="4">
                  <c:v>4.42</c:v>
                </c:pt>
                <c:pt idx="5">
                  <c:v>4.2300000000000004</c:v>
                </c:pt>
                <c:pt idx="6">
                  <c:v>4.49</c:v>
                </c:pt>
                <c:pt idx="7">
                  <c:v>4.2699999999999996</c:v>
                </c:pt>
                <c:pt idx="8">
                  <c:v>4.42</c:v>
                </c:pt>
                <c:pt idx="9">
                  <c:v>3.95</c:v>
                </c:pt>
                <c:pt idx="10">
                  <c:v>4.43</c:v>
                </c:pt>
                <c:pt idx="11">
                  <c:v>4.3499999999999996</c:v>
                </c:pt>
                <c:pt idx="12">
                  <c:v>4.49</c:v>
                </c:pt>
                <c:pt idx="13">
                  <c:v>4.25</c:v>
                </c:pt>
                <c:pt idx="14">
                  <c:v>4.2299999999999986</c:v>
                </c:pt>
                <c:pt idx="15">
                  <c:v>4.42</c:v>
                </c:pt>
                <c:pt idx="16">
                  <c:v>4.2700000000000005</c:v>
                </c:pt>
                <c:pt idx="17">
                  <c:v>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7E-5143-BFAA-4205B02AE3B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'EX2'!$B$54:$B$71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'EX2'!$D$54:$D$71</c:f>
              <c:numCache>
                <c:formatCode>0.000</c:formatCode>
                <c:ptCount val="18"/>
                <c:pt idx="0">
                  <c:v>4.3477777777777771</c:v>
                </c:pt>
                <c:pt idx="1">
                  <c:v>4.3477777777777771</c:v>
                </c:pt>
                <c:pt idx="2">
                  <c:v>4.3477777777777771</c:v>
                </c:pt>
                <c:pt idx="3">
                  <c:v>4.3477777777777771</c:v>
                </c:pt>
                <c:pt idx="4">
                  <c:v>4.3477777777777771</c:v>
                </c:pt>
                <c:pt idx="5">
                  <c:v>4.3477777777777771</c:v>
                </c:pt>
                <c:pt idx="6">
                  <c:v>4.3477777777777771</c:v>
                </c:pt>
                <c:pt idx="7">
                  <c:v>4.3477777777777771</c:v>
                </c:pt>
                <c:pt idx="8">
                  <c:v>4.3477777777777771</c:v>
                </c:pt>
                <c:pt idx="9">
                  <c:v>4.3477777777777771</c:v>
                </c:pt>
                <c:pt idx="10">
                  <c:v>4.3477777777777771</c:v>
                </c:pt>
                <c:pt idx="11">
                  <c:v>4.3477777777777771</c:v>
                </c:pt>
                <c:pt idx="12">
                  <c:v>4.3477777777777771</c:v>
                </c:pt>
                <c:pt idx="13">
                  <c:v>4.3477777777777771</c:v>
                </c:pt>
                <c:pt idx="14">
                  <c:v>4.3477777777777771</c:v>
                </c:pt>
                <c:pt idx="15">
                  <c:v>4.3477777777777771</c:v>
                </c:pt>
                <c:pt idx="16">
                  <c:v>4.3477777777777771</c:v>
                </c:pt>
                <c:pt idx="17">
                  <c:v>4.3477777777777771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7E-5143-BFAA-4205B02AE3B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'EX2'!$B$54:$B$71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'EX2'!$E$54:$E$71</c:f>
              <c:numCache>
                <c:formatCode>0.000</c:formatCode>
                <c:ptCount val="18"/>
                <c:pt idx="0">
                  <c:v>4.5961763079356697</c:v>
                </c:pt>
                <c:pt idx="1">
                  <c:v>4.5961763079356697</c:v>
                </c:pt>
                <c:pt idx="2">
                  <c:v>4.5961763079356697</c:v>
                </c:pt>
                <c:pt idx="3">
                  <c:v>4.5961763079356697</c:v>
                </c:pt>
                <c:pt idx="4">
                  <c:v>4.5961763079356697</c:v>
                </c:pt>
                <c:pt idx="5">
                  <c:v>4.5961763079356697</c:v>
                </c:pt>
                <c:pt idx="6">
                  <c:v>4.5961763079356697</c:v>
                </c:pt>
                <c:pt idx="7">
                  <c:v>4.5961763079356697</c:v>
                </c:pt>
                <c:pt idx="8">
                  <c:v>4.5961763079356697</c:v>
                </c:pt>
                <c:pt idx="9">
                  <c:v>4.5961763079356697</c:v>
                </c:pt>
                <c:pt idx="10">
                  <c:v>4.5961763079356697</c:v>
                </c:pt>
                <c:pt idx="11">
                  <c:v>4.5961763079356697</c:v>
                </c:pt>
                <c:pt idx="12">
                  <c:v>4.5961763079356697</c:v>
                </c:pt>
                <c:pt idx="13">
                  <c:v>4.5961763079356697</c:v>
                </c:pt>
                <c:pt idx="14">
                  <c:v>4.5961763079356697</c:v>
                </c:pt>
                <c:pt idx="15">
                  <c:v>4.5961763079356697</c:v>
                </c:pt>
                <c:pt idx="16">
                  <c:v>4.5961763079356697</c:v>
                </c:pt>
                <c:pt idx="17">
                  <c:v>4.5961763079356697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7E-5143-BFAA-4205B02AE3B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'EX2'!$B$54:$B$71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'EX2'!$F$54:$F$71</c:f>
              <c:numCache>
                <c:formatCode>0.000</c:formatCode>
                <c:ptCount val="18"/>
                <c:pt idx="0">
                  <c:v>4.0993792476198845</c:v>
                </c:pt>
                <c:pt idx="1">
                  <c:v>4.0993792476198845</c:v>
                </c:pt>
                <c:pt idx="2">
                  <c:v>4.0993792476198845</c:v>
                </c:pt>
                <c:pt idx="3">
                  <c:v>4.0993792476198845</c:v>
                </c:pt>
                <c:pt idx="4">
                  <c:v>4.0993792476198845</c:v>
                </c:pt>
                <c:pt idx="5">
                  <c:v>4.0993792476198845</c:v>
                </c:pt>
                <c:pt idx="6">
                  <c:v>4.0993792476198845</c:v>
                </c:pt>
                <c:pt idx="7">
                  <c:v>4.0993792476198845</c:v>
                </c:pt>
                <c:pt idx="8">
                  <c:v>4.0993792476198845</c:v>
                </c:pt>
                <c:pt idx="9">
                  <c:v>4.0993792476198845</c:v>
                </c:pt>
                <c:pt idx="10">
                  <c:v>4.0993792476198845</c:v>
                </c:pt>
                <c:pt idx="11">
                  <c:v>4.0993792476198845</c:v>
                </c:pt>
                <c:pt idx="12">
                  <c:v>4.0993792476198845</c:v>
                </c:pt>
                <c:pt idx="13">
                  <c:v>4.0993792476198845</c:v>
                </c:pt>
                <c:pt idx="14">
                  <c:v>4.0993792476198845</c:v>
                </c:pt>
                <c:pt idx="15">
                  <c:v>4.0993792476198845</c:v>
                </c:pt>
                <c:pt idx="16">
                  <c:v>4.0993792476198845</c:v>
                </c:pt>
                <c:pt idx="17">
                  <c:v>4.0993792476198845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7E-5143-BFAA-4205B02AE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203456"/>
        <c:axId val="1775199872"/>
      </c:scatterChart>
      <c:valAx>
        <c:axId val="177520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5199872"/>
        <c:crosses val="autoZero"/>
        <c:crossBetween val="midCat"/>
      </c:valAx>
      <c:valAx>
        <c:axId val="17751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520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</a:t>
            </a:r>
            <a:r>
              <a:rPr lang="fr-FR" baseline="0"/>
              <a:t> de l'écart-type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'EX2'!$J$54:$J$71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'EX2'!$K$54:$K$71</c:f>
              <c:numCache>
                <c:formatCode>0.00</c:formatCode>
                <c:ptCount val="18"/>
                <c:pt idx="0">
                  <c:v>0.17578395831246935</c:v>
                </c:pt>
                <c:pt idx="1">
                  <c:v>0.34770677301427416</c:v>
                </c:pt>
                <c:pt idx="2">
                  <c:v>0.25317977802344327</c:v>
                </c:pt>
                <c:pt idx="3">
                  <c:v>0.27000000000000007</c:v>
                </c:pt>
                <c:pt idx="4">
                  <c:v>0.20396078054371145</c:v>
                </c:pt>
                <c:pt idx="5">
                  <c:v>0.16155494421403521</c:v>
                </c:pt>
                <c:pt idx="6">
                  <c:v>0.22561028345356945</c:v>
                </c:pt>
                <c:pt idx="7">
                  <c:v>0.24103941586387909</c:v>
                </c:pt>
                <c:pt idx="8">
                  <c:v>0.2521904042583698</c:v>
                </c:pt>
                <c:pt idx="9">
                  <c:v>0.2729468812791237</c:v>
                </c:pt>
                <c:pt idx="10">
                  <c:v>0.2002498439450078</c:v>
                </c:pt>
                <c:pt idx="11">
                  <c:v>0.28017851452243797</c:v>
                </c:pt>
                <c:pt idx="12">
                  <c:v>0.27367864366808015</c:v>
                </c:pt>
                <c:pt idx="13">
                  <c:v>0.21095023109728989</c:v>
                </c:pt>
                <c:pt idx="14">
                  <c:v>0.1846618531261939</c:v>
                </c:pt>
                <c:pt idx="15">
                  <c:v>0.27856776554368246</c:v>
                </c:pt>
                <c:pt idx="16">
                  <c:v>0.25709920264364883</c:v>
                </c:pt>
                <c:pt idx="17">
                  <c:v>0.26076809620810593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5-6A4B-96CD-4B18B53623F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'EX2'!$J$54:$J$71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'EX2'!$L$54:$L$71</c:f>
              <c:numCache>
                <c:formatCode>0.000</c:formatCode>
                <c:ptCount val="18"/>
                <c:pt idx="0">
                  <c:v>0.24167374276207346</c:v>
                </c:pt>
                <c:pt idx="1">
                  <c:v>0.24167374276207346</c:v>
                </c:pt>
                <c:pt idx="2">
                  <c:v>0.24167374276207346</c:v>
                </c:pt>
                <c:pt idx="3">
                  <c:v>0.24167374276207346</c:v>
                </c:pt>
                <c:pt idx="4">
                  <c:v>0.24167374276207346</c:v>
                </c:pt>
                <c:pt idx="5">
                  <c:v>0.24167374276207346</c:v>
                </c:pt>
                <c:pt idx="6">
                  <c:v>0.24167374276207346</c:v>
                </c:pt>
                <c:pt idx="7">
                  <c:v>0.24167374276207346</c:v>
                </c:pt>
                <c:pt idx="8">
                  <c:v>0.24167374276207346</c:v>
                </c:pt>
                <c:pt idx="9">
                  <c:v>0.24167374276207346</c:v>
                </c:pt>
                <c:pt idx="10">
                  <c:v>0.24167374276207346</c:v>
                </c:pt>
                <c:pt idx="11">
                  <c:v>0.24167374276207346</c:v>
                </c:pt>
                <c:pt idx="12">
                  <c:v>0.24167374276207346</c:v>
                </c:pt>
                <c:pt idx="13">
                  <c:v>0.24167374276207346</c:v>
                </c:pt>
                <c:pt idx="14">
                  <c:v>0.24167374276207346</c:v>
                </c:pt>
                <c:pt idx="15">
                  <c:v>0.24167374276207346</c:v>
                </c:pt>
                <c:pt idx="16">
                  <c:v>0.24167374276207346</c:v>
                </c:pt>
                <c:pt idx="17">
                  <c:v>0.24167374276207301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A5-6A4B-96CD-4B18B53623F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'EX2'!$J$54:$J$71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'EX2'!$M$54:$M$71</c:f>
              <c:numCache>
                <c:formatCode>0.000</c:formatCode>
                <c:ptCount val="18"/>
                <c:pt idx="0">
                  <c:v>0.43718780065659085</c:v>
                </c:pt>
                <c:pt idx="1">
                  <c:v>0.43718780065659085</c:v>
                </c:pt>
                <c:pt idx="2">
                  <c:v>0.43718780065659085</c:v>
                </c:pt>
                <c:pt idx="3">
                  <c:v>0.43718780065659085</c:v>
                </c:pt>
                <c:pt idx="4">
                  <c:v>0.43718780065659085</c:v>
                </c:pt>
                <c:pt idx="5">
                  <c:v>0.43718780065659085</c:v>
                </c:pt>
                <c:pt idx="6">
                  <c:v>0.43718780065659085</c:v>
                </c:pt>
                <c:pt idx="7">
                  <c:v>0.43718780065659085</c:v>
                </c:pt>
                <c:pt idx="8">
                  <c:v>0.43718780065659085</c:v>
                </c:pt>
                <c:pt idx="9">
                  <c:v>0.43718780065659085</c:v>
                </c:pt>
                <c:pt idx="10">
                  <c:v>0.43718780065659085</c:v>
                </c:pt>
                <c:pt idx="11">
                  <c:v>0.43718780065659085</c:v>
                </c:pt>
                <c:pt idx="12">
                  <c:v>0.43718780065659085</c:v>
                </c:pt>
                <c:pt idx="13">
                  <c:v>0.43718780065659085</c:v>
                </c:pt>
                <c:pt idx="14">
                  <c:v>0.43718780065659085</c:v>
                </c:pt>
                <c:pt idx="15">
                  <c:v>0.43718780065659085</c:v>
                </c:pt>
                <c:pt idx="16">
                  <c:v>0.43718780065659085</c:v>
                </c:pt>
                <c:pt idx="17">
                  <c:v>0.43718780065659085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A5-6A4B-96CD-4B18B53623F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'EX2'!$J$54:$J$71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'EX2'!$N$54:$N$71</c:f>
              <c:numCache>
                <c:formatCode>0.000</c:formatCode>
                <c:ptCount val="18"/>
                <c:pt idx="0">
                  <c:v>8.8694263593680961E-2</c:v>
                </c:pt>
                <c:pt idx="1">
                  <c:v>8.8694263593680961E-2</c:v>
                </c:pt>
                <c:pt idx="2">
                  <c:v>8.8694263593680961E-2</c:v>
                </c:pt>
                <c:pt idx="3">
                  <c:v>8.8694263593680961E-2</c:v>
                </c:pt>
                <c:pt idx="4">
                  <c:v>8.8694263593680961E-2</c:v>
                </c:pt>
                <c:pt idx="5">
                  <c:v>8.8694263593680961E-2</c:v>
                </c:pt>
                <c:pt idx="6">
                  <c:v>8.8694263593680961E-2</c:v>
                </c:pt>
                <c:pt idx="7">
                  <c:v>8.8694263593680961E-2</c:v>
                </c:pt>
                <c:pt idx="8">
                  <c:v>8.8694263593680961E-2</c:v>
                </c:pt>
                <c:pt idx="9">
                  <c:v>8.8694263593680961E-2</c:v>
                </c:pt>
                <c:pt idx="10">
                  <c:v>8.8694263593680961E-2</c:v>
                </c:pt>
                <c:pt idx="11">
                  <c:v>8.8694263593680961E-2</c:v>
                </c:pt>
                <c:pt idx="12">
                  <c:v>8.8694263593680961E-2</c:v>
                </c:pt>
                <c:pt idx="13">
                  <c:v>8.8694263593680961E-2</c:v>
                </c:pt>
                <c:pt idx="14">
                  <c:v>8.8694263593680961E-2</c:v>
                </c:pt>
                <c:pt idx="15">
                  <c:v>8.8694263593680961E-2</c:v>
                </c:pt>
                <c:pt idx="16">
                  <c:v>8.8694263593680961E-2</c:v>
                </c:pt>
                <c:pt idx="17">
                  <c:v>8.8694263593680961E-2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A5-6A4B-96CD-4B18B536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365120"/>
        <c:axId val="1775228160"/>
      </c:scatterChart>
      <c:valAx>
        <c:axId val="177836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5228160"/>
        <c:crosses val="autoZero"/>
        <c:crossBetween val="midCat"/>
      </c:valAx>
      <c:valAx>
        <c:axId val="17752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8365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de l'étendu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'EX2'!$R$54:$R$71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'EX2'!$S$54:$S$71</c:f>
              <c:numCache>
                <c:formatCode>0.00</c:formatCode>
                <c:ptCount val="18"/>
                <c:pt idx="0">
                  <c:v>0.59999999999999964</c:v>
                </c:pt>
                <c:pt idx="1">
                  <c:v>1.2000000000000002</c:v>
                </c:pt>
                <c:pt idx="2">
                  <c:v>0.70000000000000018</c:v>
                </c:pt>
                <c:pt idx="3">
                  <c:v>1</c:v>
                </c:pt>
                <c:pt idx="4">
                  <c:v>0.60000000000000053</c:v>
                </c:pt>
                <c:pt idx="5">
                  <c:v>0.5</c:v>
                </c:pt>
                <c:pt idx="6">
                  <c:v>0.79999999999999982</c:v>
                </c:pt>
                <c:pt idx="7">
                  <c:v>0.80000000000000027</c:v>
                </c:pt>
                <c:pt idx="8">
                  <c:v>0.79999999999999982</c:v>
                </c:pt>
                <c:pt idx="9">
                  <c:v>0.90000000000000036</c:v>
                </c:pt>
                <c:pt idx="10">
                  <c:v>0.70000000000000018</c:v>
                </c:pt>
                <c:pt idx="11">
                  <c:v>0.89999999999999991</c:v>
                </c:pt>
                <c:pt idx="12">
                  <c:v>0.90000000000000036</c:v>
                </c:pt>
                <c:pt idx="13">
                  <c:v>0.69999999999999973</c:v>
                </c:pt>
                <c:pt idx="14">
                  <c:v>0.60000000000000009</c:v>
                </c:pt>
                <c:pt idx="15">
                  <c:v>0.89999999999999991</c:v>
                </c:pt>
                <c:pt idx="16">
                  <c:v>0.70000000000000018</c:v>
                </c:pt>
                <c:pt idx="17">
                  <c:v>0.89999999999999991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B-1744-9243-94532479758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'EX2'!$R$54:$R$71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'EX2'!$T$54:$T$71</c:f>
              <c:numCache>
                <c:formatCode>0.000</c:formatCode>
                <c:ptCount val="18"/>
                <c:pt idx="0">
                  <c:v>0.78888888888888897</c:v>
                </c:pt>
                <c:pt idx="1">
                  <c:v>0.78888888888888897</c:v>
                </c:pt>
                <c:pt idx="2">
                  <c:v>0.78888888888888897</c:v>
                </c:pt>
                <c:pt idx="3">
                  <c:v>0.78888888888888897</c:v>
                </c:pt>
                <c:pt idx="4">
                  <c:v>0.78888888888888897</c:v>
                </c:pt>
                <c:pt idx="5">
                  <c:v>0.78888888888888897</c:v>
                </c:pt>
                <c:pt idx="6">
                  <c:v>0.78888888888888897</c:v>
                </c:pt>
                <c:pt idx="7">
                  <c:v>0.78888888888888897</c:v>
                </c:pt>
                <c:pt idx="8">
                  <c:v>0.78888888888888897</c:v>
                </c:pt>
                <c:pt idx="9">
                  <c:v>0.78888888888888897</c:v>
                </c:pt>
                <c:pt idx="10">
                  <c:v>0.78888888888888897</c:v>
                </c:pt>
                <c:pt idx="11">
                  <c:v>0.78888888888888897</c:v>
                </c:pt>
                <c:pt idx="12">
                  <c:v>0.78888888888888897</c:v>
                </c:pt>
                <c:pt idx="13">
                  <c:v>0.78888888888888897</c:v>
                </c:pt>
                <c:pt idx="14">
                  <c:v>0.78888888888888897</c:v>
                </c:pt>
                <c:pt idx="15">
                  <c:v>0.78888888888888897</c:v>
                </c:pt>
                <c:pt idx="16">
                  <c:v>0.78888888888888897</c:v>
                </c:pt>
                <c:pt idx="17">
                  <c:v>0.78888888888888897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DB-1744-9243-94532479758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'EX2'!$R$54:$R$71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'EX2'!$U$54:$U$71</c:f>
              <c:numCache>
                <c:formatCode>0.000</c:formatCode>
                <c:ptCount val="18"/>
                <c:pt idx="0">
                  <c:v>1.5304444444444445</c:v>
                </c:pt>
                <c:pt idx="1">
                  <c:v>1.5304444444444445</c:v>
                </c:pt>
                <c:pt idx="2">
                  <c:v>1.5304444444444445</c:v>
                </c:pt>
                <c:pt idx="3">
                  <c:v>1.5304444444444445</c:v>
                </c:pt>
                <c:pt idx="4">
                  <c:v>1.5304444444444445</c:v>
                </c:pt>
                <c:pt idx="5">
                  <c:v>1.5304444444444445</c:v>
                </c:pt>
                <c:pt idx="6">
                  <c:v>1.5304444444444445</c:v>
                </c:pt>
                <c:pt idx="7">
                  <c:v>1.5304444444444445</c:v>
                </c:pt>
                <c:pt idx="8">
                  <c:v>1.5304444444444445</c:v>
                </c:pt>
                <c:pt idx="9">
                  <c:v>1.5304444444444445</c:v>
                </c:pt>
                <c:pt idx="10">
                  <c:v>1.5304444444444445</c:v>
                </c:pt>
                <c:pt idx="11">
                  <c:v>1.5304444444444445</c:v>
                </c:pt>
                <c:pt idx="12">
                  <c:v>1.5304444444444445</c:v>
                </c:pt>
                <c:pt idx="13">
                  <c:v>1.5304444444444445</c:v>
                </c:pt>
                <c:pt idx="14">
                  <c:v>1.5304444444444445</c:v>
                </c:pt>
                <c:pt idx="15">
                  <c:v>1.5304444444444445</c:v>
                </c:pt>
                <c:pt idx="16">
                  <c:v>1.5304444444444445</c:v>
                </c:pt>
                <c:pt idx="17">
                  <c:v>1.5304444444444445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DB-1744-9243-94532479758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'EX2'!$R$54:$R$71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'EX2'!$V$54:$V$71</c:f>
              <c:numCache>
                <c:formatCode>0.000</c:formatCode>
                <c:ptCount val="18"/>
                <c:pt idx="0">
                  <c:v>0.27611111111111114</c:v>
                </c:pt>
                <c:pt idx="1">
                  <c:v>0.27611111111111114</c:v>
                </c:pt>
                <c:pt idx="2">
                  <c:v>0.27611111111111114</c:v>
                </c:pt>
                <c:pt idx="3">
                  <c:v>0.27611111111111114</c:v>
                </c:pt>
                <c:pt idx="4">
                  <c:v>0.27611111111111114</c:v>
                </c:pt>
                <c:pt idx="5">
                  <c:v>0.27611111111111114</c:v>
                </c:pt>
                <c:pt idx="6">
                  <c:v>0.27611111111111114</c:v>
                </c:pt>
                <c:pt idx="7">
                  <c:v>0.27611111111111114</c:v>
                </c:pt>
                <c:pt idx="8">
                  <c:v>0.27611111111111114</c:v>
                </c:pt>
                <c:pt idx="9">
                  <c:v>0.27611111111111114</c:v>
                </c:pt>
                <c:pt idx="10">
                  <c:v>0.27611111111111114</c:v>
                </c:pt>
                <c:pt idx="11">
                  <c:v>0.27611111111111114</c:v>
                </c:pt>
                <c:pt idx="12">
                  <c:v>0.27611111111111114</c:v>
                </c:pt>
                <c:pt idx="13">
                  <c:v>0.27611111111111114</c:v>
                </c:pt>
                <c:pt idx="14">
                  <c:v>0.27611111111111114</c:v>
                </c:pt>
                <c:pt idx="15">
                  <c:v>0.27611111111111114</c:v>
                </c:pt>
                <c:pt idx="16">
                  <c:v>0.27611111111111114</c:v>
                </c:pt>
                <c:pt idx="17">
                  <c:v>0.27611111111111114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DB-1744-9243-945324797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144832"/>
        <c:axId val="1779141696"/>
      </c:scatterChart>
      <c:valAx>
        <c:axId val="177914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9141696"/>
        <c:crosses val="autoZero"/>
        <c:crossBetween val="midCat"/>
      </c:valAx>
      <c:valAx>
        <c:axId val="17791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9144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de la moyenne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'EX3'!$B$15:$B$40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'EX3'!$C$15:$C$40</c:f>
              <c:numCache>
                <c:formatCode>General</c:formatCode>
                <c:ptCount val="26"/>
                <c:pt idx="0">
                  <c:v>4.51</c:v>
                </c:pt>
                <c:pt idx="1">
                  <c:v>4.49</c:v>
                </c:pt>
                <c:pt idx="2">
                  <c:v>4.33</c:v>
                </c:pt>
                <c:pt idx="3">
                  <c:v>4.4099999999999993</c:v>
                </c:pt>
                <c:pt idx="4">
                  <c:v>4.42</c:v>
                </c:pt>
                <c:pt idx="5">
                  <c:v>4.2300000000000004</c:v>
                </c:pt>
                <c:pt idx="6">
                  <c:v>4.49</c:v>
                </c:pt>
                <c:pt idx="7">
                  <c:v>4.2699999999999996</c:v>
                </c:pt>
                <c:pt idx="8">
                  <c:v>4.42</c:v>
                </c:pt>
                <c:pt idx="9">
                  <c:v>3.95</c:v>
                </c:pt>
                <c:pt idx="10">
                  <c:v>4.43</c:v>
                </c:pt>
                <c:pt idx="11">
                  <c:v>4.3499999999999996</c:v>
                </c:pt>
                <c:pt idx="12">
                  <c:v>4.49</c:v>
                </c:pt>
                <c:pt idx="13">
                  <c:v>4.25</c:v>
                </c:pt>
                <c:pt idx="14">
                  <c:v>4.2299999999999986</c:v>
                </c:pt>
                <c:pt idx="15">
                  <c:v>4.42</c:v>
                </c:pt>
                <c:pt idx="16">
                  <c:v>4.2700000000000005</c:v>
                </c:pt>
                <c:pt idx="17">
                  <c:v>4.3</c:v>
                </c:pt>
                <c:pt idx="18">
                  <c:v>4.3199999999999994</c:v>
                </c:pt>
                <c:pt idx="19">
                  <c:v>4.2700000000000005</c:v>
                </c:pt>
                <c:pt idx="20">
                  <c:v>4.1800000000000006</c:v>
                </c:pt>
                <c:pt idx="21">
                  <c:v>4.3199999999999994</c:v>
                </c:pt>
                <c:pt idx="22">
                  <c:v>4.28</c:v>
                </c:pt>
                <c:pt idx="23">
                  <c:v>3.96</c:v>
                </c:pt>
                <c:pt idx="24">
                  <c:v>3.9800000000000004</c:v>
                </c:pt>
                <c:pt idx="25">
                  <c:v>4.1000000000000005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0E-BB49-9B86-F1782E9AF13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'EX3'!$B$15:$B$40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'EX3'!$D$15:$D$40</c:f>
              <c:numCache>
                <c:formatCode>0.000</c:formatCode>
                <c:ptCount val="26"/>
                <c:pt idx="0">
                  <c:v>4.3477777777777771</c:v>
                </c:pt>
                <c:pt idx="1">
                  <c:v>4.3477777777777771</c:v>
                </c:pt>
                <c:pt idx="2">
                  <c:v>4.3477777777777771</c:v>
                </c:pt>
                <c:pt idx="3">
                  <c:v>4.3477777777777771</c:v>
                </c:pt>
                <c:pt idx="4">
                  <c:v>4.3477777777777771</c:v>
                </c:pt>
                <c:pt idx="5">
                  <c:v>4.3477777777777771</c:v>
                </c:pt>
                <c:pt idx="6">
                  <c:v>4.3477777777777771</c:v>
                </c:pt>
                <c:pt idx="7">
                  <c:v>4.3477777777777771</c:v>
                </c:pt>
                <c:pt idx="8">
                  <c:v>4.3477777777777771</c:v>
                </c:pt>
                <c:pt idx="9">
                  <c:v>4.3477777777777771</c:v>
                </c:pt>
                <c:pt idx="10">
                  <c:v>4.3477777777777771</c:v>
                </c:pt>
                <c:pt idx="11">
                  <c:v>4.3477777777777771</c:v>
                </c:pt>
                <c:pt idx="12">
                  <c:v>4.3477777777777771</c:v>
                </c:pt>
                <c:pt idx="13">
                  <c:v>4.3477777777777771</c:v>
                </c:pt>
                <c:pt idx="14">
                  <c:v>4.3477777777777771</c:v>
                </c:pt>
                <c:pt idx="15">
                  <c:v>4.3477777777777771</c:v>
                </c:pt>
                <c:pt idx="16">
                  <c:v>4.3477777777777771</c:v>
                </c:pt>
                <c:pt idx="17">
                  <c:v>4.3477777777777771</c:v>
                </c:pt>
                <c:pt idx="18">
                  <c:v>4.3477777777777771</c:v>
                </c:pt>
                <c:pt idx="19">
                  <c:v>4.3477777777777771</c:v>
                </c:pt>
                <c:pt idx="20">
                  <c:v>4.3477777777777771</c:v>
                </c:pt>
                <c:pt idx="21">
                  <c:v>4.3477777777777771</c:v>
                </c:pt>
                <c:pt idx="22">
                  <c:v>4.3477777777777771</c:v>
                </c:pt>
                <c:pt idx="23">
                  <c:v>4.3477777777777771</c:v>
                </c:pt>
                <c:pt idx="24">
                  <c:v>4.3477777777777771</c:v>
                </c:pt>
                <c:pt idx="25">
                  <c:v>4.3477777777777771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0E-BB49-9B86-F1782E9AF13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'EX3'!$B$15:$B$40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'EX3'!$E$15:$E$40</c:f>
              <c:numCache>
                <c:formatCode>0.000</c:formatCode>
                <c:ptCount val="26"/>
                <c:pt idx="0">
                  <c:v>4.5961763079356697</c:v>
                </c:pt>
                <c:pt idx="1">
                  <c:v>4.5961763079356697</c:v>
                </c:pt>
                <c:pt idx="2">
                  <c:v>4.5961763079356697</c:v>
                </c:pt>
                <c:pt idx="3">
                  <c:v>4.5961763079356697</c:v>
                </c:pt>
                <c:pt idx="4">
                  <c:v>4.5961763079356697</c:v>
                </c:pt>
                <c:pt idx="5">
                  <c:v>4.5961763079356697</c:v>
                </c:pt>
                <c:pt idx="6">
                  <c:v>4.5961763079356697</c:v>
                </c:pt>
                <c:pt idx="7">
                  <c:v>4.5961763079356697</c:v>
                </c:pt>
                <c:pt idx="8">
                  <c:v>4.5961763079356697</c:v>
                </c:pt>
                <c:pt idx="9">
                  <c:v>4.5961763079356697</c:v>
                </c:pt>
                <c:pt idx="10">
                  <c:v>4.5961763079356697</c:v>
                </c:pt>
                <c:pt idx="11">
                  <c:v>4.5961763079356697</c:v>
                </c:pt>
                <c:pt idx="12">
                  <c:v>4.5961763079356697</c:v>
                </c:pt>
                <c:pt idx="13">
                  <c:v>4.5961763079356697</c:v>
                </c:pt>
                <c:pt idx="14">
                  <c:v>4.5961763079356697</c:v>
                </c:pt>
                <c:pt idx="15">
                  <c:v>4.5961763079356697</c:v>
                </c:pt>
                <c:pt idx="16">
                  <c:v>4.5961763079356697</c:v>
                </c:pt>
                <c:pt idx="17">
                  <c:v>4.5961763079356697</c:v>
                </c:pt>
                <c:pt idx="18">
                  <c:v>4.5961763079356697</c:v>
                </c:pt>
                <c:pt idx="19">
                  <c:v>4.5961763079356697</c:v>
                </c:pt>
                <c:pt idx="20">
                  <c:v>4.5961763079356697</c:v>
                </c:pt>
                <c:pt idx="21">
                  <c:v>4.5961763079356697</c:v>
                </c:pt>
                <c:pt idx="22">
                  <c:v>4.5961763079356697</c:v>
                </c:pt>
                <c:pt idx="23">
                  <c:v>4.5961763079356697</c:v>
                </c:pt>
                <c:pt idx="24">
                  <c:v>4.5961763079356697</c:v>
                </c:pt>
                <c:pt idx="25">
                  <c:v>4.5961763079356697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0E-BB49-9B86-F1782E9AF13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'EX3'!$B$15:$B$40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'EX3'!$F$15:$F$40</c:f>
              <c:numCache>
                <c:formatCode>0.000</c:formatCode>
                <c:ptCount val="26"/>
                <c:pt idx="0">
                  <c:v>4.0993792476198845</c:v>
                </c:pt>
                <c:pt idx="1">
                  <c:v>4.0993792476198845</c:v>
                </c:pt>
                <c:pt idx="2">
                  <c:v>4.0993792476198845</c:v>
                </c:pt>
                <c:pt idx="3">
                  <c:v>4.0993792476198845</c:v>
                </c:pt>
                <c:pt idx="4">
                  <c:v>4.0993792476198845</c:v>
                </c:pt>
                <c:pt idx="5">
                  <c:v>4.0993792476198845</c:v>
                </c:pt>
                <c:pt idx="6">
                  <c:v>4.0993792476198845</c:v>
                </c:pt>
                <c:pt idx="7">
                  <c:v>4.0993792476198845</c:v>
                </c:pt>
                <c:pt idx="8">
                  <c:v>4.0993792476198845</c:v>
                </c:pt>
                <c:pt idx="9">
                  <c:v>4.0993792476198845</c:v>
                </c:pt>
                <c:pt idx="10">
                  <c:v>4.0993792476198845</c:v>
                </c:pt>
                <c:pt idx="11">
                  <c:v>4.0993792476198845</c:v>
                </c:pt>
                <c:pt idx="12">
                  <c:v>4.0993792476198845</c:v>
                </c:pt>
                <c:pt idx="13">
                  <c:v>4.0993792476198845</c:v>
                </c:pt>
                <c:pt idx="14">
                  <c:v>4.0993792476198845</c:v>
                </c:pt>
                <c:pt idx="15">
                  <c:v>4.0993792476198845</c:v>
                </c:pt>
                <c:pt idx="16">
                  <c:v>4.0993792476198845</c:v>
                </c:pt>
                <c:pt idx="17">
                  <c:v>4.0993792476198845</c:v>
                </c:pt>
                <c:pt idx="18">
                  <c:v>4.0993792476198845</c:v>
                </c:pt>
                <c:pt idx="19">
                  <c:v>4.0993792476198845</c:v>
                </c:pt>
                <c:pt idx="20">
                  <c:v>4.0993792476198845</c:v>
                </c:pt>
                <c:pt idx="21">
                  <c:v>4.0993792476198845</c:v>
                </c:pt>
                <c:pt idx="22">
                  <c:v>4.0993792476198845</c:v>
                </c:pt>
                <c:pt idx="23">
                  <c:v>4.0993792476198845</c:v>
                </c:pt>
                <c:pt idx="24">
                  <c:v>4.0993792476198845</c:v>
                </c:pt>
                <c:pt idx="25">
                  <c:v>4.0993792476198845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0E-BB49-9B86-F1782E9A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560192"/>
        <c:axId val="1776562880"/>
      </c:scatterChart>
      <c:valAx>
        <c:axId val="177656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6562880"/>
        <c:crosses val="autoZero"/>
        <c:crossBetween val="midCat"/>
      </c:valAx>
      <c:valAx>
        <c:axId val="17765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656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</a:t>
            </a:r>
            <a:r>
              <a:rPr lang="fr-FR" baseline="0"/>
              <a:t> de l'étendu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'EX3'!$B$50:$B$75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'EX3'!$C$50:$C$75</c:f>
              <c:numCache>
                <c:formatCode>0.00</c:formatCode>
                <c:ptCount val="26"/>
                <c:pt idx="0">
                  <c:v>0.59999999999999964</c:v>
                </c:pt>
                <c:pt idx="1">
                  <c:v>1.2000000000000002</c:v>
                </c:pt>
                <c:pt idx="2">
                  <c:v>0.70000000000000018</c:v>
                </c:pt>
                <c:pt idx="3">
                  <c:v>1</c:v>
                </c:pt>
                <c:pt idx="4">
                  <c:v>0.60000000000000053</c:v>
                </c:pt>
                <c:pt idx="5">
                  <c:v>0.5</c:v>
                </c:pt>
                <c:pt idx="6">
                  <c:v>0.79999999999999982</c:v>
                </c:pt>
                <c:pt idx="7">
                  <c:v>0.80000000000000027</c:v>
                </c:pt>
                <c:pt idx="8">
                  <c:v>0.79999999999999982</c:v>
                </c:pt>
                <c:pt idx="9">
                  <c:v>0.90000000000000036</c:v>
                </c:pt>
                <c:pt idx="10">
                  <c:v>0.70000000000000018</c:v>
                </c:pt>
                <c:pt idx="11">
                  <c:v>0.89999999999999991</c:v>
                </c:pt>
                <c:pt idx="12">
                  <c:v>0.90000000000000036</c:v>
                </c:pt>
                <c:pt idx="13">
                  <c:v>0.69999999999999973</c:v>
                </c:pt>
                <c:pt idx="14">
                  <c:v>0.60000000000000009</c:v>
                </c:pt>
                <c:pt idx="15">
                  <c:v>0.89999999999999991</c:v>
                </c:pt>
                <c:pt idx="16">
                  <c:v>0.70000000000000018</c:v>
                </c:pt>
                <c:pt idx="17">
                  <c:v>0.89999999999999991</c:v>
                </c:pt>
                <c:pt idx="18" formatCode="General">
                  <c:v>0.70000000000000018</c:v>
                </c:pt>
                <c:pt idx="19" formatCode="General">
                  <c:v>0.5</c:v>
                </c:pt>
                <c:pt idx="20" formatCode="General">
                  <c:v>0.29999999999999982</c:v>
                </c:pt>
                <c:pt idx="21" formatCode="General">
                  <c:v>0.59999999999999964</c:v>
                </c:pt>
                <c:pt idx="22" formatCode="General">
                  <c:v>0.70000000000000018</c:v>
                </c:pt>
                <c:pt idx="23" formatCode="General">
                  <c:v>0.69999999999999973</c:v>
                </c:pt>
                <c:pt idx="24" formatCode="General">
                  <c:v>0.5</c:v>
                </c:pt>
                <c:pt idx="25" formatCode="General">
                  <c:v>0.79999999999999982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E-574D-A871-835FA0B08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'EX3'!$B$50:$B$75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'EX3'!$D$50:$D$75</c:f>
              <c:numCache>
                <c:formatCode>0.000</c:formatCode>
                <c:ptCount val="26"/>
                <c:pt idx="0">
                  <c:v>0.78888888888888897</c:v>
                </c:pt>
                <c:pt idx="1">
                  <c:v>0.78888888888888897</c:v>
                </c:pt>
                <c:pt idx="2">
                  <c:v>0.78888888888888897</c:v>
                </c:pt>
                <c:pt idx="3">
                  <c:v>0.78888888888888897</c:v>
                </c:pt>
                <c:pt idx="4">
                  <c:v>0.78888888888888897</c:v>
                </c:pt>
                <c:pt idx="5">
                  <c:v>0.78888888888888897</c:v>
                </c:pt>
                <c:pt idx="6">
                  <c:v>0.78888888888888897</c:v>
                </c:pt>
                <c:pt idx="7">
                  <c:v>0.78888888888888897</c:v>
                </c:pt>
                <c:pt idx="8">
                  <c:v>0.78888888888888897</c:v>
                </c:pt>
                <c:pt idx="9">
                  <c:v>0.78888888888888897</c:v>
                </c:pt>
                <c:pt idx="10">
                  <c:v>0.78888888888888897</c:v>
                </c:pt>
                <c:pt idx="11">
                  <c:v>0.78888888888888897</c:v>
                </c:pt>
                <c:pt idx="12">
                  <c:v>0.78888888888888897</c:v>
                </c:pt>
                <c:pt idx="13">
                  <c:v>0.78888888888888897</c:v>
                </c:pt>
                <c:pt idx="14">
                  <c:v>0.78888888888888897</c:v>
                </c:pt>
                <c:pt idx="15">
                  <c:v>0.78888888888888897</c:v>
                </c:pt>
                <c:pt idx="16">
                  <c:v>0.78888888888888897</c:v>
                </c:pt>
                <c:pt idx="17">
                  <c:v>0.78888888888888897</c:v>
                </c:pt>
                <c:pt idx="18">
                  <c:v>0.78888888888888897</c:v>
                </c:pt>
                <c:pt idx="19">
                  <c:v>0.78888888888888897</c:v>
                </c:pt>
                <c:pt idx="20">
                  <c:v>0.78888888888888897</c:v>
                </c:pt>
                <c:pt idx="21">
                  <c:v>0.78888888888888897</c:v>
                </c:pt>
                <c:pt idx="22">
                  <c:v>0.78888888888888897</c:v>
                </c:pt>
                <c:pt idx="23">
                  <c:v>0.78888888888888897</c:v>
                </c:pt>
                <c:pt idx="24">
                  <c:v>0.78888888888888897</c:v>
                </c:pt>
                <c:pt idx="25">
                  <c:v>0.78888888888888897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5E-574D-A871-835FA0B08FD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'EX3'!$B$50:$B$75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'EX3'!$E$50:$E$75</c:f>
              <c:numCache>
                <c:formatCode>0.000</c:formatCode>
                <c:ptCount val="26"/>
                <c:pt idx="0">
                  <c:v>1.5304444444444445</c:v>
                </c:pt>
                <c:pt idx="1">
                  <c:v>1.5304444444444445</c:v>
                </c:pt>
                <c:pt idx="2">
                  <c:v>1.5304444444444445</c:v>
                </c:pt>
                <c:pt idx="3">
                  <c:v>1.5304444444444445</c:v>
                </c:pt>
                <c:pt idx="4">
                  <c:v>1.5304444444444445</c:v>
                </c:pt>
                <c:pt idx="5">
                  <c:v>1.5304444444444445</c:v>
                </c:pt>
                <c:pt idx="6">
                  <c:v>1.5304444444444445</c:v>
                </c:pt>
                <c:pt idx="7">
                  <c:v>1.5304444444444445</c:v>
                </c:pt>
                <c:pt idx="8">
                  <c:v>1.5304444444444445</c:v>
                </c:pt>
                <c:pt idx="9">
                  <c:v>1.5304444444444445</c:v>
                </c:pt>
                <c:pt idx="10">
                  <c:v>1.5304444444444445</c:v>
                </c:pt>
                <c:pt idx="11">
                  <c:v>1.5304444444444445</c:v>
                </c:pt>
                <c:pt idx="12">
                  <c:v>1.5304444444444445</c:v>
                </c:pt>
                <c:pt idx="13">
                  <c:v>1.5304444444444445</c:v>
                </c:pt>
                <c:pt idx="14">
                  <c:v>1.5304444444444445</c:v>
                </c:pt>
                <c:pt idx="15">
                  <c:v>1.5304444444444445</c:v>
                </c:pt>
                <c:pt idx="16">
                  <c:v>1.5304444444444445</c:v>
                </c:pt>
                <c:pt idx="17">
                  <c:v>1.5304444444444445</c:v>
                </c:pt>
                <c:pt idx="18">
                  <c:v>1.5304444444444445</c:v>
                </c:pt>
                <c:pt idx="19">
                  <c:v>1.5304444444444445</c:v>
                </c:pt>
                <c:pt idx="20">
                  <c:v>1.5304444444444445</c:v>
                </c:pt>
                <c:pt idx="21">
                  <c:v>1.5304444444444445</c:v>
                </c:pt>
                <c:pt idx="22">
                  <c:v>1.5304444444444445</c:v>
                </c:pt>
                <c:pt idx="23">
                  <c:v>1.5304444444444445</c:v>
                </c:pt>
                <c:pt idx="24">
                  <c:v>1.5304444444444445</c:v>
                </c:pt>
                <c:pt idx="25">
                  <c:v>1.5304444444444445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5E-574D-A871-835FA0B08FD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'EX3'!$B$50:$B$75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'EX3'!$F$50:$F$75</c:f>
              <c:numCache>
                <c:formatCode>0.000</c:formatCode>
                <c:ptCount val="26"/>
                <c:pt idx="0">
                  <c:v>0.27611111111111114</c:v>
                </c:pt>
                <c:pt idx="1">
                  <c:v>0.27611111111111114</c:v>
                </c:pt>
                <c:pt idx="2">
                  <c:v>0.27611111111111114</c:v>
                </c:pt>
                <c:pt idx="3">
                  <c:v>0.27611111111111114</c:v>
                </c:pt>
                <c:pt idx="4">
                  <c:v>0.27611111111111114</c:v>
                </c:pt>
                <c:pt idx="5">
                  <c:v>0.27611111111111114</c:v>
                </c:pt>
                <c:pt idx="6">
                  <c:v>0.27611111111111114</c:v>
                </c:pt>
                <c:pt idx="7">
                  <c:v>0.27611111111111114</c:v>
                </c:pt>
                <c:pt idx="8">
                  <c:v>0.27611111111111114</c:v>
                </c:pt>
                <c:pt idx="9">
                  <c:v>0.27611111111111114</c:v>
                </c:pt>
                <c:pt idx="10">
                  <c:v>0.27611111111111114</c:v>
                </c:pt>
                <c:pt idx="11">
                  <c:v>0.27611111111111114</c:v>
                </c:pt>
                <c:pt idx="12">
                  <c:v>0.27611111111111114</c:v>
                </c:pt>
                <c:pt idx="13">
                  <c:v>0.27611111111111114</c:v>
                </c:pt>
                <c:pt idx="14">
                  <c:v>0.27611111111111114</c:v>
                </c:pt>
                <c:pt idx="15">
                  <c:v>0.27611111111111114</c:v>
                </c:pt>
                <c:pt idx="16">
                  <c:v>0.27611111111111114</c:v>
                </c:pt>
                <c:pt idx="17">
                  <c:v>0.27611111111111114</c:v>
                </c:pt>
                <c:pt idx="18">
                  <c:v>0.27611111111111114</c:v>
                </c:pt>
                <c:pt idx="19">
                  <c:v>0.27611111111111114</c:v>
                </c:pt>
                <c:pt idx="20">
                  <c:v>0.27611111111111114</c:v>
                </c:pt>
                <c:pt idx="21">
                  <c:v>0.27611111111111114</c:v>
                </c:pt>
                <c:pt idx="22">
                  <c:v>0.27611111111111114</c:v>
                </c:pt>
                <c:pt idx="23">
                  <c:v>0.27611111111111114</c:v>
                </c:pt>
                <c:pt idx="24">
                  <c:v>0.27611111111111114</c:v>
                </c:pt>
                <c:pt idx="25">
                  <c:v>0.27611111111111114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5E-574D-A871-835FA0B08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081024"/>
        <c:axId val="1587072064"/>
      </c:scatterChart>
      <c:valAx>
        <c:axId val="158708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7072064"/>
        <c:crosses val="autoZero"/>
        <c:crossBetween val="midCat"/>
      </c:valAx>
      <c:valAx>
        <c:axId val="15870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708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243417</xdr:colOff>
      <xdr:row>48</xdr:row>
      <xdr:rowOff>158751</xdr:rowOff>
    </xdr:from>
    <xdr:to>
      <xdr:col>7</xdr:col>
      <xdr:colOff>288065</xdr:colOff>
      <xdr:row>54</xdr:row>
      <xdr:rowOff>95303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417" y="8900584"/>
          <a:ext cx="3854648" cy="1016052"/>
        </a:xfrm>
        <a:prstGeom prst="rect">
          <a:avLst/>
        </a:prstGeom>
      </xdr:spPr>
    </xdr:pic>
    <xdr:clientData/>
  </xdr:twoCellAnchor>
  <xdr:twoCellAnchor>
    <xdr:from>
      <xdr:col>11</xdr:col>
      <xdr:colOff>281654</xdr:colOff>
      <xdr:row>53</xdr:row>
      <xdr:rowOff>199716</xdr:rowOff>
    </xdr:from>
    <xdr:to>
      <xdr:col>19</xdr:col>
      <xdr:colOff>519777</xdr:colOff>
      <xdr:row>74</xdr:row>
      <xdr:rowOff>26320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121391</xdr:colOff>
      <xdr:row>75</xdr:row>
      <xdr:rowOff>79184</xdr:rowOff>
    </xdr:from>
    <xdr:to>
      <xdr:col>19</xdr:col>
      <xdr:colOff>94932</xdr:colOff>
      <xdr:row>94</xdr:row>
      <xdr:rowOff>55128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395110</xdr:colOff>
      <xdr:row>95</xdr:row>
      <xdr:rowOff>34084</xdr:rowOff>
    </xdr:from>
    <xdr:to>
      <xdr:col>12</xdr:col>
      <xdr:colOff>17367</xdr:colOff>
      <xdr:row>109</xdr:row>
      <xdr:rowOff>31045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CEB571B-110A-9B41-F74D-FA5EBEB49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243417</xdr:colOff>
      <xdr:row>43</xdr:row>
      <xdr:rowOff>158751</xdr:rowOff>
    </xdr:from>
    <xdr:ext cx="3854648" cy="1016052"/>
    <xdr:pic>
      <xdr:nvPicPr>
        <xdr:cNvPr id="2" name="Image 1">
          <a:extLst>
            <a:ext uri="{FF2B5EF4-FFF2-40B4-BE49-F238E27FC236}">
              <a16:creationId xmlns:a16="http://schemas.microsoft.com/office/drawing/2014/main" id="{C1FD36D9-A2D2-6040-97EC-0BA60B86E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4917" y="14408151"/>
          <a:ext cx="3854648" cy="1016052"/>
        </a:xfrm>
        <a:prstGeom prst="rect">
          <a:avLst/>
        </a:prstGeom>
      </xdr:spPr>
    </xdr:pic>
    <xdr:clientData/>
  </xdr:oneCellAnchor>
  <xdr:twoCellAnchor>
    <xdr:from>
      <xdr:col>1</xdr:col>
      <xdr:colOff>449262</xdr:colOff>
      <xdr:row>74</xdr:row>
      <xdr:rowOff>6350</xdr:rowOff>
    </xdr:from>
    <xdr:to>
      <xdr:col>7</xdr:col>
      <xdr:colOff>60324</xdr:colOff>
      <xdr:row>88</xdr:row>
      <xdr:rowOff>90488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81BCEEF-F37B-4B99-F4D5-850BD3EA0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349250</xdr:colOff>
      <xdr:row>72</xdr:row>
      <xdr:rowOff>88900</xdr:rowOff>
    </xdr:from>
    <xdr:to>
      <xdr:col>14</xdr:col>
      <xdr:colOff>793750</xdr:colOff>
      <xdr:row>86</xdr:row>
      <xdr:rowOff>165100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3407C349-BD81-BCF5-F79A-12D1322A1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501650</xdr:colOff>
      <xdr:row>72</xdr:row>
      <xdr:rowOff>38100</xdr:rowOff>
    </xdr:from>
    <xdr:to>
      <xdr:col>23</xdr:col>
      <xdr:colOff>120650</xdr:colOff>
      <xdr:row>86</xdr:row>
      <xdr:rowOff>114300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8DBB607D-DFDD-F30C-7BD8-D09DF882B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18</xdr:row>
      <xdr:rowOff>82550</xdr:rowOff>
    </xdr:from>
    <xdr:to>
      <xdr:col>14</xdr:col>
      <xdr:colOff>203200</xdr:colOff>
      <xdr:row>32</xdr:row>
      <xdr:rowOff>158750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1549A11-548F-05B1-4516-C43A3EC2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283953</xdr:colOff>
      <xdr:row>54</xdr:row>
      <xdr:rowOff>78117</xdr:rowOff>
    </xdr:from>
    <xdr:to>
      <xdr:col>11</xdr:col>
      <xdr:colOff>722463</xdr:colOff>
      <xdr:row>68</xdr:row>
      <xdr:rowOff>137543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00A24BC-25AE-8A79-7DCD-DEF3EE6A8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"/>
  <sheetViews>
    <sheetView topLeftCell="C86" zoomScaleNormal="60" workbookViewId="0">
      <selection activeCell="N103" sqref="N103"/>
    </sheetView>
  </sheetViews>
  <sheetFormatPr baseColWidth="10" defaultRowHeight="15" x14ac:dyDescent="0.2"/>
  <sheetData>
    <row r="1" spans="1:22" ht="21" x14ac:dyDescent="0.2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9"/>
      <c r="O1" s="39"/>
      <c r="P1" s="39"/>
    </row>
    <row r="2" spans="1:22" ht="15" customHeight="1" x14ac:dyDescent="0.2">
      <c r="A2" s="1" t="s">
        <v>1</v>
      </c>
      <c r="B2" s="2">
        <v>18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22" ht="15" customHeight="1" x14ac:dyDescent="0.2">
      <c r="A3" s="1" t="s">
        <v>2</v>
      </c>
      <c r="B3" s="2">
        <v>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2"/>
      <c r="O3" s="32"/>
      <c r="P3" s="32"/>
      <c r="Q3" s="32"/>
      <c r="R3" s="32"/>
      <c r="S3" s="32"/>
      <c r="T3" s="32"/>
      <c r="U3" s="32"/>
      <c r="V3" s="32"/>
    </row>
    <row r="4" spans="1:22" ht="15" customHeight="1" x14ac:dyDescent="0.2">
      <c r="A4" s="1" t="s">
        <v>3</v>
      </c>
      <c r="B4" s="2">
        <v>3.4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2"/>
      <c r="O4" s="32"/>
      <c r="P4" s="32"/>
      <c r="Q4" s="32"/>
      <c r="R4" s="32"/>
      <c r="S4" s="32"/>
      <c r="T4" s="32"/>
      <c r="U4" s="32"/>
      <c r="V4" s="32"/>
    </row>
    <row r="5" spans="1:22" ht="15" customHeight="1" x14ac:dyDescent="0.2">
      <c r="A5" s="1" t="s">
        <v>4</v>
      </c>
      <c r="B5" s="2">
        <v>5.2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2"/>
      <c r="O5" s="32"/>
      <c r="P5" s="32"/>
      <c r="Q5" s="32"/>
      <c r="R5" s="32"/>
      <c r="S5" s="32"/>
      <c r="T5" s="32"/>
      <c r="U5" s="32"/>
      <c r="V5" s="32"/>
    </row>
    <row r="6" spans="1:22" ht="15" customHeight="1" x14ac:dyDescent="0.2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2"/>
      <c r="O6" s="32"/>
      <c r="P6" s="32"/>
      <c r="Q6" s="32"/>
      <c r="R6" s="32"/>
      <c r="S6" s="32"/>
      <c r="T6" s="32"/>
      <c r="U6" s="32"/>
      <c r="V6" s="32"/>
    </row>
    <row r="7" spans="1:22" ht="15" customHeight="1" x14ac:dyDescent="0.2">
      <c r="A7" s="57" t="s">
        <v>5</v>
      </c>
      <c r="B7" s="58"/>
      <c r="C7" s="59" t="s">
        <v>6</v>
      </c>
      <c r="D7" s="59"/>
      <c r="E7" s="59"/>
      <c r="F7" s="59"/>
      <c r="G7" s="59"/>
      <c r="H7" s="59"/>
      <c r="I7" s="59"/>
      <c r="J7" s="59"/>
      <c r="K7" s="59"/>
      <c r="L7" s="59"/>
      <c r="M7" s="8" t="s">
        <v>59</v>
      </c>
      <c r="N7" s="32" t="s">
        <v>60</v>
      </c>
      <c r="O7" s="32" t="s">
        <v>13</v>
      </c>
      <c r="P7" s="32"/>
      <c r="Q7" s="32"/>
      <c r="R7" s="32"/>
      <c r="S7" s="32"/>
      <c r="T7" s="32"/>
      <c r="U7" s="32"/>
      <c r="V7" s="32"/>
    </row>
    <row r="8" spans="1:22" ht="15" customHeight="1" x14ac:dyDescent="0.2">
      <c r="A8" s="57"/>
      <c r="B8" s="58"/>
      <c r="C8" s="5">
        <v>1</v>
      </c>
      <c r="D8" s="5">
        <v>2</v>
      </c>
      <c r="E8" s="5">
        <v>3</v>
      </c>
      <c r="F8" s="5">
        <v>4</v>
      </c>
      <c r="G8" s="5">
        <v>5</v>
      </c>
      <c r="H8" s="6">
        <v>6</v>
      </c>
      <c r="I8" s="6">
        <v>7</v>
      </c>
      <c r="J8" s="6">
        <v>8</v>
      </c>
      <c r="K8" s="6">
        <v>9</v>
      </c>
      <c r="L8" s="6">
        <v>10</v>
      </c>
      <c r="M8" s="8"/>
      <c r="N8" s="32"/>
      <c r="O8" s="32"/>
      <c r="P8" s="32"/>
      <c r="Q8" s="32"/>
      <c r="R8" s="32"/>
      <c r="S8" s="32"/>
      <c r="T8" s="32"/>
      <c r="U8" s="32"/>
      <c r="V8" s="32"/>
    </row>
    <row r="9" spans="1:22" ht="15" customHeight="1" x14ac:dyDescent="0.2">
      <c r="A9" s="60" t="s">
        <v>1</v>
      </c>
      <c r="B9" s="5">
        <v>1</v>
      </c>
      <c r="C9" s="2">
        <v>4.5999999999999996</v>
      </c>
      <c r="D9" s="2">
        <v>4.7</v>
      </c>
      <c r="E9" s="2">
        <v>4.4000000000000004</v>
      </c>
      <c r="F9" s="2">
        <v>4.4000000000000004</v>
      </c>
      <c r="G9" s="2">
        <v>4.2</v>
      </c>
      <c r="H9" s="2">
        <v>4.3</v>
      </c>
      <c r="I9" s="2">
        <v>4.8</v>
      </c>
      <c r="J9" s="2">
        <v>4.5999999999999996</v>
      </c>
      <c r="K9" s="2">
        <v>4.5999999999999996</v>
      </c>
      <c r="L9" s="2">
        <v>4.5</v>
      </c>
      <c r="M9" s="3">
        <f>AVERAGE(C9:L9)</f>
        <v>4.51</v>
      </c>
      <c r="N9" s="32">
        <f>_xlfn.STDEV.P(C9:L9)</f>
        <v>0.17578395831246935</v>
      </c>
      <c r="O9" s="32">
        <f>MAX(C9:L9)-MIN(C9:L9)</f>
        <v>0.59999999999999964</v>
      </c>
      <c r="P9" s="32"/>
      <c r="Q9" s="32"/>
      <c r="R9" s="32"/>
      <c r="S9" s="32"/>
      <c r="T9" s="32"/>
      <c r="U9" s="32"/>
      <c r="V9" s="32"/>
    </row>
    <row r="10" spans="1:22" ht="15" customHeight="1" x14ac:dyDescent="0.2">
      <c r="A10" s="61"/>
      <c r="B10" s="5">
        <v>2</v>
      </c>
      <c r="C10" s="2">
        <v>4.4000000000000004</v>
      </c>
      <c r="D10" s="2">
        <v>4.2</v>
      </c>
      <c r="E10" s="2">
        <v>5.3</v>
      </c>
      <c r="F10" s="2">
        <v>4.8</v>
      </c>
      <c r="G10" s="2">
        <v>4.5</v>
      </c>
      <c r="H10" s="2">
        <v>4.3</v>
      </c>
      <c r="I10" s="2">
        <v>4.0999999999999996</v>
      </c>
      <c r="J10" s="2">
        <v>4.5999999999999996</v>
      </c>
      <c r="K10" s="2">
        <v>4.0999999999999996</v>
      </c>
      <c r="L10" s="2">
        <v>4.5999999999999996</v>
      </c>
      <c r="M10" s="3">
        <f t="shared" ref="M10:M34" si="0">AVERAGE(C10:L10)</f>
        <v>4.49</v>
      </c>
      <c r="N10" s="32">
        <f t="shared" ref="N10:N34" si="1">_xlfn.STDEV.P(C10:L10)</f>
        <v>0.34770677301427416</v>
      </c>
      <c r="O10" s="32">
        <f t="shared" ref="O10:O34" si="2">MAX(C10:L10)-MIN(C10:L10)</f>
        <v>1.2000000000000002</v>
      </c>
      <c r="P10" s="32"/>
      <c r="Q10" s="32"/>
      <c r="R10" s="32"/>
      <c r="S10" s="32"/>
      <c r="T10" s="32"/>
      <c r="U10" s="32"/>
      <c r="V10" s="32"/>
    </row>
    <row r="11" spans="1:22" ht="15" customHeight="1" x14ac:dyDescent="0.2">
      <c r="A11" s="61"/>
      <c r="B11" s="5">
        <v>3</v>
      </c>
      <c r="C11" s="2">
        <v>4</v>
      </c>
      <c r="D11" s="2">
        <v>4.5</v>
      </c>
      <c r="E11" s="2">
        <v>4.5999999999999996</v>
      </c>
      <c r="F11" s="2">
        <v>4.4000000000000004</v>
      </c>
      <c r="G11" s="2">
        <v>4.5999999999999996</v>
      </c>
      <c r="H11" s="2">
        <v>4</v>
      </c>
      <c r="I11" s="2">
        <v>4.0999999999999996</v>
      </c>
      <c r="J11" s="2">
        <v>4.0999999999999996</v>
      </c>
      <c r="K11" s="2">
        <v>4.3</v>
      </c>
      <c r="L11" s="2">
        <v>4.7</v>
      </c>
      <c r="M11" s="3">
        <f t="shared" si="0"/>
        <v>4.33</v>
      </c>
      <c r="N11" s="32">
        <f t="shared" si="1"/>
        <v>0.25317977802344327</v>
      </c>
      <c r="O11" s="32">
        <f t="shared" si="2"/>
        <v>0.70000000000000018</v>
      </c>
      <c r="P11" s="32"/>
      <c r="Q11" s="32"/>
      <c r="R11" s="32"/>
      <c r="S11" s="32"/>
      <c r="T11" s="32"/>
      <c r="U11" s="32"/>
      <c r="V11" s="32"/>
    </row>
    <row r="12" spans="1:22" ht="15" customHeight="1" x14ac:dyDescent="0.2">
      <c r="A12" s="61"/>
      <c r="B12" s="5">
        <v>4</v>
      </c>
      <c r="C12" s="2">
        <v>4.7</v>
      </c>
      <c r="D12" s="2">
        <v>4.3</v>
      </c>
      <c r="E12" s="2">
        <v>4.4000000000000004</v>
      </c>
      <c r="F12" s="2">
        <v>5</v>
      </c>
      <c r="G12" s="2">
        <v>4.4000000000000004</v>
      </c>
      <c r="H12" s="2">
        <v>4</v>
      </c>
      <c r="I12" s="2">
        <v>4.5</v>
      </c>
      <c r="J12" s="2">
        <v>4.0999999999999996</v>
      </c>
      <c r="K12" s="2">
        <v>4.3</v>
      </c>
      <c r="L12" s="2">
        <v>4.4000000000000004</v>
      </c>
      <c r="M12" s="3">
        <f t="shared" si="0"/>
        <v>4.4099999999999993</v>
      </c>
      <c r="N12" s="32">
        <f t="shared" si="1"/>
        <v>0.27000000000000007</v>
      </c>
      <c r="O12" s="32">
        <f t="shared" si="2"/>
        <v>1</v>
      </c>
      <c r="P12" s="32"/>
      <c r="Q12" s="32"/>
      <c r="R12" s="32"/>
      <c r="S12" s="32"/>
      <c r="T12" s="32"/>
      <c r="U12" s="32"/>
      <c r="V12" s="32"/>
    </row>
    <row r="13" spans="1:22" ht="15" customHeight="1" x14ac:dyDescent="0.2">
      <c r="A13" s="61"/>
      <c r="B13" s="5">
        <v>5</v>
      </c>
      <c r="C13" s="2">
        <v>4.0999999999999996</v>
      </c>
      <c r="D13" s="2">
        <v>4.4000000000000004</v>
      </c>
      <c r="E13" s="2">
        <v>4.5</v>
      </c>
      <c r="F13" s="2">
        <v>4.5999999999999996</v>
      </c>
      <c r="G13" s="2">
        <v>4.7</v>
      </c>
      <c r="H13" s="2">
        <v>4.3</v>
      </c>
      <c r="I13" s="2">
        <v>4.2</v>
      </c>
      <c r="J13" s="2">
        <v>4.2</v>
      </c>
      <c r="K13" s="2">
        <v>4.7</v>
      </c>
      <c r="L13" s="2">
        <v>4.5</v>
      </c>
      <c r="M13" s="3">
        <f t="shared" si="0"/>
        <v>4.42</v>
      </c>
      <c r="N13" s="32">
        <f t="shared" si="1"/>
        <v>0.20396078054371145</v>
      </c>
      <c r="O13" s="32">
        <f t="shared" si="2"/>
        <v>0.60000000000000053</v>
      </c>
      <c r="P13" s="32"/>
      <c r="Q13" s="32"/>
      <c r="R13" s="32"/>
      <c r="S13" s="32"/>
      <c r="T13" s="32"/>
      <c r="U13" s="32"/>
      <c r="V13" s="32"/>
    </row>
    <row r="14" spans="1:22" ht="15" customHeight="1" x14ac:dyDescent="0.2">
      <c r="A14" s="61"/>
      <c r="B14" s="5">
        <v>6</v>
      </c>
      <c r="C14" s="2">
        <v>4</v>
      </c>
      <c r="D14" s="2">
        <v>4.3</v>
      </c>
      <c r="E14" s="2">
        <v>4</v>
      </c>
      <c r="F14" s="2">
        <v>4.0999999999999996</v>
      </c>
      <c r="G14" s="2">
        <v>4.2</v>
      </c>
      <c r="H14" s="2">
        <v>4.4000000000000004</v>
      </c>
      <c r="I14" s="2">
        <v>4.5</v>
      </c>
      <c r="J14" s="2">
        <v>4.4000000000000004</v>
      </c>
      <c r="K14" s="2">
        <v>4.2</v>
      </c>
      <c r="L14" s="2">
        <v>4.2</v>
      </c>
      <c r="M14" s="3">
        <f t="shared" si="0"/>
        <v>4.2300000000000004</v>
      </c>
      <c r="N14" s="32">
        <f t="shared" si="1"/>
        <v>0.16155494421403521</v>
      </c>
      <c r="O14" s="32">
        <f t="shared" si="2"/>
        <v>0.5</v>
      </c>
      <c r="P14" s="32"/>
      <c r="Q14" s="32"/>
      <c r="R14" s="32"/>
      <c r="S14" s="32"/>
      <c r="T14" s="32"/>
      <c r="U14" s="32"/>
      <c r="V14" s="32"/>
    </row>
    <row r="15" spans="1:22" ht="15" customHeight="1" x14ac:dyDescent="0.2">
      <c r="A15" s="61"/>
      <c r="B15" s="5">
        <v>7</v>
      </c>
      <c r="C15" s="2">
        <v>4.5999999999999996</v>
      </c>
      <c r="D15" s="2">
        <v>4.5999999999999996</v>
      </c>
      <c r="E15" s="2">
        <v>4.5</v>
      </c>
      <c r="F15" s="2">
        <v>4.7</v>
      </c>
      <c r="G15" s="2">
        <v>4.2</v>
      </c>
      <c r="H15" s="2">
        <v>4.4000000000000004</v>
      </c>
      <c r="I15" s="2">
        <v>4</v>
      </c>
      <c r="J15" s="2">
        <v>4.5999999999999996</v>
      </c>
      <c r="K15" s="2">
        <v>4.5</v>
      </c>
      <c r="L15" s="2">
        <v>4.8</v>
      </c>
      <c r="M15" s="3">
        <f t="shared" si="0"/>
        <v>4.49</v>
      </c>
      <c r="N15" s="32">
        <f t="shared" si="1"/>
        <v>0.22561028345356945</v>
      </c>
      <c r="O15" s="32">
        <f t="shared" si="2"/>
        <v>0.79999999999999982</v>
      </c>
      <c r="P15" s="32"/>
      <c r="Q15" s="32"/>
      <c r="R15" s="32"/>
      <c r="S15" s="32"/>
      <c r="T15" s="32"/>
      <c r="U15" s="32"/>
      <c r="V15" s="32"/>
    </row>
    <row r="16" spans="1:22" ht="15" customHeight="1" x14ac:dyDescent="0.2">
      <c r="A16" s="61"/>
      <c r="B16" s="5">
        <v>8</v>
      </c>
      <c r="C16" s="2">
        <v>4.5</v>
      </c>
      <c r="D16" s="2">
        <v>4</v>
      </c>
      <c r="E16" s="2">
        <v>4.7</v>
      </c>
      <c r="F16" s="2">
        <v>4.0999999999999996</v>
      </c>
      <c r="G16" s="2">
        <v>4.5</v>
      </c>
      <c r="H16" s="2">
        <v>3.9</v>
      </c>
      <c r="I16" s="2">
        <v>4.0999999999999996</v>
      </c>
      <c r="J16" s="2">
        <v>4.3</v>
      </c>
      <c r="K16" s="2">
        <v>4.2</v>
      </c>
      <c r="L16" s="2">
        <v>4.4000000000000004</v>
      </c>
      <c r="M16" s="3">
        <f t="shared" si="0"/>
        <v>4.2699999999999996</v>
      </c>
      <c r="N16" s="32">
        <f t="shared" si="1"/>
        <v>0.24103941586387909</v>
      </c>
      <c r="O16" s="32">
        <f t="shared" si="2"/>
        <v>0.80000000000000027</v>
      </c>
      <c r="P16" s="32"/>
      <c r="Q16" s="32"/>
      <c r="R16" s="32"/>
      <c r="S16" s="32"/>
      <c r="T16" s="32"/>
      <c r="U16" s="32"/>
      <c r="V16" s="32"/>
    </row>
    <row r="17" spans="1:22" ht="15" customHeight="1" x14ac:dyDescent="0.2">
      <c r="A17" s="61"/>
      <c r="B17" s="5">
        <v>9</v>
      </c>
      <c r="C17" s="2">
        <v>4.8</v>
      </c>
      <c r="D17" s="2">
        <v>4.2</v>
      </c>
      <c r="E17" s="2">
        <v>4.0999999999999996</v>
      </c>
      <c r="F17" s="2">
        <v>4.4000000000000004</v>
      </c>
      <c r="G17" s="2">
        <v>4.5999999999999996</v>
      </c>
      <c r="H17" s="2">
        <v>4.5999999999999996</v>
      </c>
      <c r="I17" s="2">
        <v>4.5</v>
      </c>
      <c r="J17" s="2">
        <v>4.7</v>
      </c>
      <c r="K17" s="2">
        <v>4.3</v>
      </c>
      <c r="L17" s="2">
        <v>4</v>
      </c>
      <c r="M17" s="3">
        <f t="shared" si="0"/>
        <v>4.42</v>
      </c>
      <c r="N17" s="32">
        <f t="shared" si="1"/>
        <v>0.2521904042583698</v>
      </c>
      <c r="O17" s="32">
        <f t="shared" si="2"/>
        <v>0.79999999999999982</v>
      </c>
      <c r="P17" s="32"/>
      <c r="Q17" s="32"/>
      <c r="R17" s="32"/>
      <c r="S17" s="32"/>
      <c r="T17" s="32"/>
      <c r="U17" s="32"/>
      <c r="V17" s="32"/>
    </row>
    <row r="18" spans="1:22" ht="15" customHeight="1" x14ac:dyDescent="0.2">
      <c r="A18" s="61"/>
      <c r="B18" s="5">
        <v>10</v>
      </c>
      <c r="C18" s="2">
        <v>3.9</v>
      </c>
      <c r="D18" s="2">
        <v>4.3</v>
      </c>
      <c r="E18" s="2">
        <v>3.8</v>
      </c>
      <c r="F18" s="2">
        <v>3.6</v>
      </c>
      <c r="G18" s="2">
        <v>3.5</v>
      </c>
      <c r="H18" s="2">
        <v>4</v>
      </c>
      <c r="I18" s="2">
        <v>3.9</v>
      </c>
      <c r="J18" s="2">
        <v>3.9</v>
      </c>
      <c r="K18" s="2">
        <v>4.4000000000000004</v>
      </c>
      <c r="L18" s="2">
        <v>4.2</v>
      </c>
      <c r="M18" s="3">
        <f t="shared" si="0"/>
        <v>3.95</v>
      </c>
      <c r="N18" s="32">
        <f t="shared" si="1"/>
        <v>0.2729468812791237</v>
      </c>
      <c r="O18" s="32">
        <f t="shared" si="2"/>
        <v>0.90000000000000036</v>
      </c>
      <c r="P18" s="32">
        <f>AVERAGE(M9:M18)</f>
        <v>4.3519999999999994</v>
      </c>
      <c r="Q18" s="32">
        <f>AVERAGE(N9:N18)</f>
        <v>0.24039732189628751</v>
      </c>
      <c r="R18" s="32">
        <f>AVERAGE(O9:O18)</f>
        <v>0.79000000000000015</v>
      </c>
      <c r="S18" s="32"/>
      <c r="T18" s="32"/>
      <c r="U18" s="32"/>
      <c r="V18" s="32"/>
    </row>
    <row r="19" spans="1:22" ht="15" customHeight="1" x14ac:dyDescent="0.2">
      <c r="A19" s="61"/>
      <c r="B19" s="5">
        <v>11</v>
      </c>
      <c r="C19" s="2">
        <v>4.5</v>
      </c>
      <c r="D19" s="2">
        <v>4.5</v>
      </c>
      <c r="E19" s="2">
        <v>4.5999999999999996</v>
      </c>
      <c r="F19" s="2">
        <v>4.2</v>
      </c>
      <c r="G19" s="2">
        <v>4.4000000000000004</v>
      </c>
      <c r="H19" s="2">
        <v>4.7</v>
      </c>
      <c r="I19" s="2">
        <v>4.5999999999999996</v>
      </c>
      <c r="J19" s="2">
        <v>4.5</v>
      </c>
      <c r="K19" s="2">
        <v>4.3</v>
      </c>
      <c r="L19" s="2">
        <v>4</v>
      </c>
      <c r="M19" s="3">
        <f t="shared" si="0"/>
        <v>4.43</v>
      </c>
      <c r="N19" s="32">
        <f t="shared" si="1"/>
        <v>0.2002498439450078</v>
      </c>
      <c r="O19" s="32">
        <f t="shared" si="2"/>
        <v>0.70000000000000018</v>
      </c>
      <c r="P19" s="32" t="s">
        <v>61</v>
      </c>
      <c r="Q19" s="32" t="s">
        <v>62</v>
      </c>
      <c r="R19" s="32" t="s">
        <v>63</v>
      </c>
      <c r="S19" s="32"/>
      <c r="T19" s="32"/>
      <c r="U19" s="32"/>
      <c r="V19" s="32"/>
    </row>
    <row r="20" spans="1:22" ht="15" customHeight="1" x14ac:dyDescent="0.2">
      <c r="A20" s="61"/>
      <c r="B20" s="5">
        <v>12</v>
      </c>
      <c r="C20" s="2">
        <v>4.0999999999999996</v>
      </c>
      <c r="D20" s="2">
        <v>3.9</v>
      </c>
      <c r="E20" s="2">
        <v>4.8</v>
      </c>
      <c r="F20" s="2">
        <v>4.3</v>
      </c>
      <c r="G20" s="2">
        <v>4.2</v>
      </c>
      <c r="H20" s="2">
        <v>4.8</v>
      </c>
      <c r="I20" s="2">
        <v>4.2</v>
      </c>
      <c r="J20" s="2">
        <v>4.3</v>
      </c>
      <c r="K20" s="2">
        <v>4.3</v>
      </c>
      <c r="L20" s="2">
        <v>4.5999999999999996</v>
      </c>
      <c r="M20" s="3">
        <f t="shared" si="0"/>
        <v>4.3499999999999996</v>
      </c>
      <c r="N20" s="32">
        <f t="shared" si="1"/>
        <v>0.28017851452243797</v>
      </c>
      <c r="O20" s="32">
        <f t="shared" si="2"/>
        <v>0.89999999999999991</v>
      </c>
      <c r="P20" s="32"/>
      <c r="Q20" s="32"/>
      <c r="R20" s="32"/>
      <c r="S20" s="32"/>
      <c r="T20" s="32"/>
      <c r="U20" s="32"/>
      <c r="V20" s="32"/>
    </row>
    <row r="21" spans="1:22" ht="15" customHeight="1" x14ac:dyDescent="0.2">
      <c r="A21" s="61"/>
      <c r="B21" s="5">
        <v>13</v>
      </c>
      <c r="C21" s="2">
        <v>4.8</v>
      </c>
      <c r="D21" s="2">
        <v>4.4000000000000004</v>
      </c>
      <c r="E21" s="2">
        <v>4.5</v>
      </c>
      <c r="F21" s="2">
        <v>4.9000000000000004</v>
      </c>
      <c r="G21" s="2">
        <v>4.4000000000000004</v>
      </c>
      <c r="H21" s="2">
        <v>4.8</v>
      </c>
      <c r="I21" s="2">
        <v>4.3</v>
      </c>
      <c r="J21" s="2">
        <v>4.5999999999999996</v>
      </c>
      <c r="K21" s="2">
        <v>4</v>
      </c>
      <c r="L21" s="2">
        <v>4.2</v>
      </c>
      <c r="M21" s="3">
        <f t="shared" si="0"/>
        <v>4.49</v>
      </c>
      <c r="N21" s="32">
        <f t="shared" si="1"/>
        <v>0.27367864366808015</v>
      </c>
      <c r="O21" s="32">
        <f t="shared" si="2"/>
        <v>0.90000000000000036</v>
      </c>
      <c r="P21" s="32"/>
      <c r="Q21" s="32"/>
      <c r="R21" s="32"/>
      <c r="S21" s="32"/>
      <c r="T21" s="32"/>
      <c r="U21" s="32"/>
      <c r="V21" s="32"/>
    </row>
    <row r="22" spans="1:22" ht="15" customHeight="1" x14ac:dyDescent="0.2">
      <c r="A22" s="61"/>
      <c r="B22" s="5">
        <v>14</v>
      </c>
      <c r="C22" s="2">
        <v>4.4000000000000004</v>
      </c>
      <c r="D22" s="2">
        <v>4.5</v>
      </c>
      <c r="E22" s="2">
        <v>4.2</v>
      </c>
      <c r="F22" s="2">
        <v>4.2</v>
      </c>
      <c r="G22" s="2">
        <v>4</v>
      </c>
      <c r="H22" s="2">
        <v>3.9</v>
      </c>
      <c r="I22" s="2">
        <v>4.0999999999999996</v>
      </c>
      <c r="J22" s="2">
        <v>4.4000000000000004</v>
      </c>
      <c r="K22" s="2">
        <v>4.5999999999999996</v>
      </c>
      <c r="L22" s="2">
        <v>4.2</v>
      </c>
      <c r="M22" s="3">
        <f t="shared" si="0"/>
        <v>4.25</v>
      </c>
      <c r="N22" s="32">
        <f t="shared" si="1"/>
        <v>0.21095023109728989</v>
      </c>
      <c r="O22" s="32">
        <f t="shared" si="2"/>
        <v>0.69999999999999973</v>
      </c>
    </row>
    <row r="23" spans="1:22" ht="15" customHeight="1" x14ac:dyDescent="0.2">
      <c r="A23" s="61"/>
      <c r="B23" s="5">
        <v>15</v>
      </c>
      <c r="C23" s="2">
        <v>4.2</v>
      </c>
      <c r="D23" s="2">
        <v>4</v>
      </c>
      <c r="E23" s="2">
        <v>4.3</v>
      </c>
      <c r="F23" s="2">
        <v>4.5</v>
      </c>
      <c r="G23" s="2">
        <v>3.9</v>
      </c>
      <c r="H23" s="2">
        <v>4.2</v>
      </c>
      <c r="I23" s="2">
        <v>4.0999999999999996</v>
      </c>
      <c r="J23" s="2">
        <v>4.3</v>
      </c>
      <c r="K23" s="2">
        <v>4.3</v>
      </c>
      <c r="L23" s="2">
        <v>4.5</v>
      </c>
      <c r="M23" s="3">
        <f t="shared" si="0"/>
        <v>4.2299999999999986</v>
      </c>
      <c r="N23" s="32">
        <f t="shared" si="1"/>
        <v>0.1846618531261939</v>
      </c>
      <c r="O23" s="32">
        <f t="shared" si="2"/>
        <v>0.60000000000000009</v>
      </c>
    </row>
    <row r="24" spans="1:22" ht="15" customHeight="1" x14ac:dyDescent="0.2">
      <c r="A24" s="61"/>
      <c r="B24" s="5">
        <v>16</v>
      </c>
      <c r="C24" s="2">
        <v>4.7</v>
      </c>
      <c r="D24" s="2">
        <v>4.8</v>
      </c>
      <c r="E24" s="2">
        <v>4.0999999999999996</v>
      </c>
      <c r="F24" s="2">
        <v>4.5999999999999996</v>
      </c>
      <c r="G24" s="2">
        <v>4.2</v>
      </c>
      <c r="H24" s="2">
        <v>3.9</v>
      </c>
      <c r="I24" s="2">
        <v>4.4000000000000004</v>
      </c>
      <c r="J24" s="2">
        <v>4.3</v>
      </c>
      <c r="K24" s="2">
        <v>4.5</v>
      </c>
      <c r="L24" s="2">
        <v>4.7</v>
      </c>
      <c r="M24" s="3">
        <f t="shared" si="0"/>
        <v>4.42</v>
      </c>
      <c r="N24" s="32">
        <f t="shared" si="1"/>
        <v>0.27856776554368246</v>
      </c>
      <c r="O24" s="32">
        <f t="shared" si="2"/>
        <v>0.89999999999999991</v>
      </c>
      <c r="T24" s="15"/>
    </row>
    <row r="25" spans="1:22" ht="15" customHeight="1" x14ac:dyDescent="0.2">
      <c r="A25" s="61"/>
      <c r="B25" s="5">
        <v>17</v>
      </c>
      <c r="C25" s="2">
        <v>4.5999999999999996</v>
      </c>
      <c r="D25" s="2">
        <v>4</v>
      </c>
      <c r="E25" s="2">
        <v>4</v>
      </c>
      <c r="F25" s="2">
        <v>4.3</v>
      </c>
      <c r="G25" s="2">
        <v>4</v>
      </c>
      <c r="H25" s="2">
        <v>4.4000000000000004</v>
      </c>
      <c r="I25" s="2">
        <v>4.2</v>
      </c>
      <c r="J25" s="2">
        <v>4</v>
      </c>
      <c r="K25" s="2">
        <v>4.5</v>
      </c>
      <c r="L25" s="2">
        <v>4.7</v>
      </c>
      <c r="M25" s="3">
        <f t="shared" si="0"/>
        <v>4.2700000000000005</v>
      </c>
      <c r="N25" s="32">
        <f t="shared" si="1"/>
        <v>0.25709920264364883</v>
      </c>
      <c r="O25" s="32">
        <f t="shared" si="2"/>
        <v>0.70000000000000018</v>
      </c>
      <c r="P25" s="40"/>
      <c r="Q25" s="40"/>
      <c r="R25" s="40"/>
      <c r="T25" s="3"/>
      <c r="U25" s="3"/>
    </row>
    <row r="26" spans="1:22" ht="15" customHeight="1" x14ac:dyDescent="0.2">
      <c r="A26" s="61"/>
      <c r="B26" s="5">
        <v>18</v>
      </c>
      <c r="C26" s="2">
        <v>4.5</v>
      </c>
      <c r="D26" s="2">
        <v>4.3</v>
      </c>
      <c r="E26" s="2">
        <v>4.3</v>
      </c>
      <c r="F26" s="2">
        <v>4.8</v>
      </c>
      <c r="G26" s="2">
        <v>4.5999999999999996</v>
      </c>
      <c r="H26" s="2">
        <v>4.0999999999999996</v>
      </c>
      <c r="I26" s="2">
        <v>4.2</v>
      </c>
      <c r="J26" s="2">
        <v>4.3</v>
      </c>
      <c r="K26" s="2">
        <v>3.9</v>
      </c>
      <c r="L26" s="2">
        <v>4</v>
      </c>
      <c r="M26" s="3">
        <f t="shared" si="0"/>
        <v>4.3</v>
      </c>
      <c r="N26" s="32">
        <f t="shared" si="1"/>
        <v>0.26076809620810593</v>
      </c>
      <c r="O26" s="32">
        <f t="shared" si="2"/>
        <v>0.89999999999999991</v>
      </c>
      <c r="P26" s="41"/>
      <c r="Q26" s="41"/>
      <c r="R26" s="41"/>
      <c r="T26" s="3"/>
      <c r="U26" s="3"/>
    </row>
    <row r="27" spans="1:22" ht="15" customHeight="1" x14ac:dyDescent="0.2">
      <c r="A27" s="61"/>
      <c r="B27" s="7">
        <v>19</v>
      </c>
      <c r="C27" s="2">
        <v>4.0999999999999996</v>
      </c>
      <c r="D27" s="2">
        <v>4.4000000000000004</v>
      </c>
      <c r="E27" s="2">
        <v>4.0999999999999996</v>
      </c>
      <c r="F27" s="2">
        <v>4.2</v>
      </c>
      <c r="G27" s="2">
        <v>4</v>
      </c>
      <c r="H27" s="2">
        <v>4.5999999999999996</v>
      </c>
      <c r="I27" s="2">
        <v>4.4000000000000004</v>
      </c>
      <c r="J27" s="2">
        <v>4.3</v>
      </c>
      <c r="K27" s="2">
        <v>4.7</v>
      </c>
      <c r="L27" s="2">
        <v>4.5</v>
      </c>
      <c r="M27" s="3">
        <f t="shared" si="0"/>
        <v>4.33</v>
      </c>
      <c r="N27" s="32">
        <f t="shared" si="1"/>
        <v>0.21931712199461317</v>
      </c>
      <c r="O27" s="32">
        <f t="shared" si="2"/>
        <v>0.70000000000000018</v>
      </c>
      <c r="P27" s="41"/>
      <c r="Q27" s="41"/>
      <c r="R27" s="41"/>
    </row>
    <row r="28" spans="1:22" ht="15" customHeight="1" x14ac:dyDescent="0.2">
      <c r="A28" s="61"/>
      <c r="B28" s="7">
        <v>20</v>
      </c>
      <c r="C28" s="2">
        <v>4.2</v>
      </c>
      <c r="D28" s="2">
        <v>4.3</v>
      </c>
      <c r="E28" s="2">
        <v>4.0999999999999996</v>
      </c>
      <c r="F28" s="2">
        <v>4.0999999999999996</v>
      </c>
      <c r="G28" s="2">
        <v>4.2</v>
      </c>
      <c r="H28" s="2">
        <v>4.3</v>
      </c>
      <c r="I28" s="2">
        <v>4.3</v>
      </c>
      <c r="J28" s="2">
        <v>4.5999999999999996</v>
      </c>
      <c r="K28" s="2">
        <v>4.5</v>
      </c>
      <c r="L28" s="2">
        <v>4.0999999999999996</v>
      </c>
      <c r="M28" s="3">
        <f t="shared" si="0"/>
        <v>4.2700000000000005</v>
      </c>
      <c r="N28" s="32">
        <f t="shared" si="1"/>
        <v>0.16155494421403513</v>
      </c>
      <c r="O28" s="32">
        <f t="shared" si="2"/>
        <v>0.5</v>
      </c>
      <c r="P28" s="42"/>
      <c r="Q28" s="41"/>
      <c r="R28" s="41"/>
      <c r="T28" s="15"/>
    </row>
    <row r="29" spans="1:22" ht="15" customHeight="1" x14ac:dyDescent="0.2">
      <c r="A29" s="61"/>
      <c r="B29" s="7">
        <v>21</v>
      </c>
      <c r="C29" s="2">
        <v>4.2</v>
      </c>
      <c r="D29" s="2">
        <v>4.3</v>
      </c>
      <c r="E29" s="2">
        <v>4.2</v>
      </c>
      <c r="F29" s="2">
        <v>4.2</v>
      </c>
      <c r="G29" s="2">
        <v>4.3</v>
      </c>
      <c r="H29" s="2">
        <v>4.3</v>
      </c>
      <c r="I29" s="2">
        <v>4.0999999999999996</v>
      </c>
      <c r="J29" s="2">
        <v>4</v>
      </c>
      <c r="K29" s="2">
        <v>4.0999999999999996</v>
      </c>
      <c r="L29" s="2">
        <v>4.0999999999999996</v>
      </c>
      <c r="M29" s="3">
        <f t="shared" si="0"/>
        <v>4.1800000000000006</v>
      </c>
      <c r="N29" s="32">
        <f t="shared" si="1"/>
        <v>9.797958971132717E-2</v>
      </c>
      <c r="O29" s="32">
        <f t="shared" si="2"/>
        <v>0.29999999999999982</v>
      </c>
    </row>
    <row r="30" spans="1:22" ht="15" customHeight="1" x14ac:dyDescent="0.2">
      <c r="A30" s="61"/>
      <c r="B30" s="7">
        <v>22</v>
      </c>
      <c r="C30" s="2">
        <v>4.0999999999999996</v>
      </c>
      <c r="D30" s="2">
        <v>4.5</v>
      </c>
      <c r="E30" s="2">
        <v>4.4000000000000004</v>
      </c>
      <c r="F30" s="2">
        <v>4.2</v>
      </c>
      <c r="G30" s="2">
        <v>4.5999999999999996</v>
      </c>
      <c r="H30" s="2">
        <v>4.4000000000000004</v>
      </c>
      <c r="I30" s="2">
        <v>4.4000000000000004</v>
      </c>
      <c r="J30" s="2">
        <v>4.3</v>
      </c>
      <c r="K30" s="2">
        <v>4.0999999999999996</v>
      </c>
      <c r="L30" s="2">
        <v>4</v>
      </c>
      <c r="M30" s="3">
        <f t="shared" si="0"/>
        <v>4.2999999999999989</v>
      </c>
      <c r="N30" s="32">
        <f t="shared" si="1"/>
        <v>0.1843908891458578</v>
      </c>
      <c r="O30" s="32">
        <f t="shared" si="2"/>
        <v>0.59999999999999964</v>
      </c>
      <c r="P30" s="8"/>
      <c r="Q30" s="8"/>
    </row>
    <row r="31" spans="1:22" ht="15" customHeight="1" x14ac:dyDescent="0.2">
      <c r="A31" s="61"/>
      <c r="B31" s="7">
        <v>23</v>
      </c>
      <c r="C31" s="2">
        <v>4.7</v>
      </c>
      <c r="D31" s="2">
        <v>4.5999999999999996</v>
      </c>
      <c r="E31" s="2">
        <v>4.5999999999999996</v>
      </c>
      <c r="F31" s="2">
        <v>4.0999999999999996</v>
      </c>
      <c r="G31" s="2">
        <v>4</v>
      </c>
      <c r="H31" s="2">
        <v>4</v>
      </c>
      <c r="I31" s="2">
        <v>4.2</v>
      </c>
      <c r="J31" s="2">
        <v>4</v>
      </c>
      <c r="K31" s="2">
        <v>4</v>
      </c>
      <c r="L31" s="2">
        <v>4.0999999999999996</v>
      </c>
      <c r="M31" s="3">
        <f t="shared" si="0"/>
        <v>4.2300000000000004</v>
      </c>
      <c r="N31" s="32">
        <f t="shared" si="1"/>
        <v>0.27221315177632394</v>
      </c>
      <c r="O31" s="32">
        <f t="shared" si="2"/>
        <v>0.70000000000000018</v>
      </c>
      <c r="P31" s="41"/>
      <c r="Q31" s="41"/>
    </row>
    <row r="32" spans="1:22" ht="15" customHeight="1" x14ac:dyDescent="0.2">
      <c r="A32" s="61"/>
      <c r="B32" s="7">
        <v>24</v>
      </c>
      <c r="C32" s="2">
        <v>3.9</v>
      </c>
      <c r="D32" s="2">
        <v>4.3</v>
      </c>
      <c r="E32" s="2">
        <v>4.3</v>
      </c>
      <c r="F32" s="2">
        <v>4.2</v>
      </c>
      <c r="G32" s="2">
        <v>3.9</v>
      </c>
      <c r="H32" s="2">
        <v>3.9</v>
      </c>
      <c r="I32" s="2">
        <v>4</v>
      </c>
      <c r="J32" s="2">
        <v>3.7</v>
      </c>
      <c r="K32" s="2">
        <v>3.6</v>
      </c>
      <c r="L32" s="2">
        <v>3.7</v>
      </c>
      <c r="M32" s="3">
        <f t="shared" si="0"/>
        <v>3.95</v>
      </c>
      <c r="N32" s="32">
        <f t="shared" si="1"/>
        <v>0.23769728648009417</v>
      </c>
      <c r="O32" s="32">
        <f t="shared" si="2"/>
        <v>0.69999999999999973</v>
      </c>
      <c r="P32" s="38"/>
      <c r="Q32" s="3"/>
    </row>
    <row r="33" spans="1:27" ht="15" customHeight="1" x14ac:dyDescent="0.2">
      <c r="A33" s="61"/>
      <c r="B33" s="7">
        <v>25</v>
      </c>
      <c r="C33" s="2">
        <v>3.9</v>
      </c>
      <c r="D33" s="2">
        <v>3.9</v>
      </c>
      <c r="E33" s="2">
        <v>4</v>
      </c>
      <c r="F33" s="2">
        <v>3.7</v>
      </c>
      <c r="G33" s="2">
        <v>3.7</v>
      </c>
      <c r="H33" s="2">
        <v>4.0999999999999996</v>
      </c>
      <c r="I33" s="2">
        <v>4</v>
      </c>
      <c r="J33" s="2">
        <v>4</v>
      </c>
      <c r="K33" s="2">
        <v>4.2</v>
      </c>
      <c r="L33" s="2">
        <v>4</v>
      </c>
      <c r="M33" s="3">
        <f t="shared" si="0"/>
        <v>3.95</v>
      </c>
      <c r="N33" s="32">
        <f t="shared" si="1"/>
        <v>0.14999999999999994</v>
      </c>
      <c r="O33" s="32">
        <f t="shared" si="2"/>
        <v>0.5</v>
      </c>
    </row>
    <row r="34" spans="1:27" ht="15" customHeight="1" x14ac:dyDescent="0.2">
      <c r="A34" s="62"/>
      <c r="B34" s="7">
        <v>26</v>
      </c>
      <c r="C34" s="2">
        <v>4.0999999999999996</v>
      </c>
      <c r="D34" s="2">
        <v>4</v>
      </c>
      <c r="E34" s="2">
        <v>3.9</v>
      </c>
      <c r="F34" s="2">
        <v>4.2</v>
      </c>
      <c r="G34" s="2">
        <v>3.7</v>
      </c>
      <c r="H34" s="2">
        <v>3.5</v>
      </c>
      <c r="I34" s="2">
        <v>4.3</v>
      </c>
      <c r="J34" s="2">
        <v>4.5</v>
      </c>
      <c r="K34" s="2">
        <v>4.0999999999999996</v>
      </c>
      <c r="L34" s="2">
        <v>4.2</v>
      </c>
      <c r="M34" s="3">
        <f t="shared" si="0"/>
        <v>4.0500000000000007</v>
      </c>
      <c r="N34" s="32">
        <f t="shared" si="1"/>
        <v>0.2765863337187866</v>
      </c>
      <c r="O34" s="32">
        <f t="shared" si="2"/>
        <v>1</v>
      </c>
    </row>
    <row r="35" spans="1:27" ht="15" customHeight="1" x14ac:dyDescent="0.2"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" customHeight="1" x14ac:dyDescent="0.2">
      <c r="M36" s="3">
        <f>AVERAGE(M9:M34)</f>
        <v>4.2892307692307687</v>
      </c>
      <c r="N36" s="3">
        <f t="shared" ref="N36:O36" si="3">AVERAGE(N9:N34)</f>
        <v>0.22884102641378309</v>
      </c>
      <c r="O36" s="3">
        <f t="shared" si="3"/>
        <v>0.73846153846153861</v>
      </c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43"/>
      <c r="AA36" s="32"/>
    </row>
    <row r="37" spans="1:27" ht="15" customHeight="1" x14ac:dyDescent="0.2"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43"/>
      <c r="AA37" s="32"/>
    </row>
    <row r="38" spans="1:27" ht="15" customHeight="1" x14ac:dyDescent="0.2">
      <c r="C38" s="25" t="s">
        <v>25</v>
      </c>
      <c r="D38" s="25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43"/>
      <c r="AA38" s="32"/>
    </row>
    <row r="39" spans="1:27" ht="15" customHeight="1" x14ac:dyDescent="0.2"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43"/>
      <c r="AA39" s="32"/>
    </row>
    <row r="40" spans="1:27" ht="15" customHeight="1" x14ac:dyDescent="0.2">
      <c r="C40" s="25" t="s">
        <v>26</v>
      </c>
      <c r="D40" s="25"/>
      <c r="E40" s="25"/>
      <c r="F40" s="25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43"/>
      <c r="AA40" s="32"/>
    </row>
    <row r="41" spans="1:27" ht="15" customHeight="1" x14ac:dyDescent="0.2"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43"/>
      <c r="AA41" s="32"/>
    </row>
    <row r="42" spans="1:27" ht="15" customHeight="1" x14ac:dyDescent="0.2"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43"/>
      <c r="AA42" s="32"/>
    </row>
    <row r="43" spans="1:27" ht="15" customHeight="1" x14ac:dyDescent="0.2">
      <c r="C43" s="65" t="s">
        <v>27</v>
      </c>
      <c r="D43" s="65"/>
      <c r="E43" s="3"/>
      <c r="F43" s="3"/>
      <c r="G43" s="3"/>
      <c r="H43" s="3"/>
      <c r="I43" s="65" t="s">
        <v>28</v>
      </c>
      <c r="J43" s="65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43"/>
      <c r="AA43" s="32"/>
    </row>
    <row r="44" spans="1:27" ht="15" customHeight="1" x14ac:dyDescent="0.2">
      <c r="C44" s="26" t="s">
        <v>29</v>
      </c>
      <c r="D44" s="27">
        <f>D58+3*((D59)/(J58*SQRT(10)))</f>
        <v>4.5990865917433155</v>
      </c>
      <c r="E44" s="3"/>
      <c r="F44" s="3"/>
      <c r="G44" s="3"/>
      <c r="H44" s="3"/>
      <c r="I44" s="2" t="s">
        <v>30</v>
      </c>
      <c r="J44" s="10">
        <v>1.67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43"/>
      <c r="AA44" s="32"/>
    </row>
    <row r="45" spans="1:27" ht="15" customHeight="1" x14ac:dyDescent="0.2">
      <c r="C45" s="26" t="s">
        <v>31</v>
      </c>
      <c r="D45" s="27">
        <f>D58-3*((D59)/(J58*SQRT(10)))</f>
        <v>4.1049134082566834</v>
      </c>
      <c r="E45" s="3"/>
      <c r="F45" s="3"/>
      <c r="G45" s="3"/>
      <c r="H45" s="3"/>
      <c r="I45" s="2" t="s">
        <v>32</v>
      </c>
      <c r="J45" s="10">
        <v>0.33900000000000002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43"/>
      <c r="AA45" s="32"/>
    </row>
    <row r="46" spans="1:27" ht="15" customHeight="1" x14ac:dyDescent="0.2">
      <c r="C46" s="26" t="s">
        <v>33</v>
      </c>
      <c r="D46" s="27">
        <f>D58+2*((D59)/(J58*SQRT(10)))</f>
        <v>4.5167243944955437</v>
      </c>
      <c r="E46" s="3"/>
      <c r="F46" s="3"/>
      <c r="G46" s="3"/>
      <c r="H46" s="3"/>
      <c r="I46" s="2" t="s">
        <v>34</v>
      </c>
      <c r="J46" s="10">
        <v>1.379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43"/>
      <c r="AA46" s="32"/>
    </row>
    <row r="47" spans="1:27" ht="15" customHeight="1" x14ac:dyDescent="0.2">
      <c r="C47" s="26" t="s">
        <v>35</v>
      </c>
      <c r="D47" s="27">
        <f>D58-2*((D59)/(J58*SQRT(10)))</f>
        <v>4.1872756055044551</v>
      </c>
      <c r="E47" s="3"/>
      <c r="F47" s="3"/>
      <c r="G47" s="3"/>
      <c r="H47" s="3"/>
      <c r="I47" s="2" t="s">
        <v>36</v>
      </c>
      <c r="J47" s="10">
        <v>0.52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43"/>
      <c r="AA47" s="32"/>
    </row>
    <row r="48" spans="1:27" ht="15" customHeight="1" x14ac:dyDescent="0.2">
      <c r="C48" s="3"/>
      <c r="D48" s="3"/>
      <c r="E48" s="3"/>
      <c r="F48" s="3"/>
      <c r="G48" s="3"/>
      <c r="H48" s="3"/>
      <c r="I48" s="2" t="s">
        <v>37</v>
      </c>
      <c r="J48" s="10">
        <v>1.8089999999999999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43"/>
      <c r="AA48" s="32"/>
    </row>
    <row r="49" spans="3:27" ht="15" customHeight="1" x14ac:dyDescent="0.2">
      <c r="C49" s="3"/>
      <c r="D49" s="3"/>
      <c r="E49" s="3"/>
      <c r="F49" s="3"/>
      <c r="G49" s="3"/>
      <c r="H49" s="3"/>
      <c r="I49" s="2" t="s">
        <v>38</v>
      </c>
      <c r="J49" s="10">
        <v>0.36699999999999999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43"/>
      <c r="AA49" s="32"/>
    </row>
    <row r="50" spans="3:27" ht="15" customHeight="1" x14ac:dyDescent="0.2">
      <c r="C50" s="3"/>
      <c r="D50" s="3"/>
      <c r="E50" s="3"/>
      <c r="F50" s="3"/>
      <c r="G50" s="3"/>
      <c r="H50" s="3"/>
      <c r="I50" s="2" t="s">
        <v>39</v>
      </c>
      <c r="J50" s="10">
        <v>1.494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43"/>
      <c r="AA50" s="32"/>
    </row>
    <row r="51" spans="3:27" ht="15" customHeight="1" x14ac:dyDescent="0.2">
      <c r="C51" s="3"/>
      <c r="D51" s="3"/>
      <c r="E51" s="3"/>
      <c r="F51" s="3"/>
      <c r="G51" s="3"/>
      <c r="H51" s="3"/>
      <c r="I51" s="2" t="s">
        <v>40</v>
      </c>
      <c r="J51" s="10">
        <v>0.56299999999999994</v>
      </c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43"/>
      <c r="AA51" s="32"/>
    </row>
    <row r="52" spans="3:27" ht="15" customHeight="1" x14ac:dyDescent="0.2">
      <c r="C52" s="3"/>
      <c r="D52" s="3"/>
      <c r="E52" s="3"/>
      <c r="F52" s="3"/>
      <c r="G52" s="3"/>
      <c r="H52" s="3"/>
      <c r="I52" s="26" t="s">
        <v>29</v>
      </c>
      <c r="J52" s="27">
        <f>J48*D$59</f>
        <v>0.43487875531038411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43"/>
      <c r="AA52" s="32"/>
    </row>
    <row r="53" spans="3:27" ht="15" customHeight="1" x14ac:dyDescent="0.2">
      <c r="C53" s="3"/>
      <c r="D53" s="3"/>
      <c r="E53" s="3"/>
      <c r="F53" s="3"/>
      <c r="G53" s="3"/>
      <c r="H53" s="3"/>
      <c r="I53" s="26" t="s">
        <v>31</v>
      </c>
      <c r="J53" s="27">
        <f t="shared" ref="J53:J55" si="4">J49*D$59</f>
        <v>8.8225817135937509E-2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43"/>
      <c r="AA53" s="32"/>
    </row>
    <row r="54" spans="3:27" ht="15" customHeight="1" x14ac:dyDescent="0.2">
      <c r="C54" s="3"/>
      <c r="D54" s="3"/>
      <c r="E54" s="3"/>
      <c r="F54" s="3"/>
      <c r="G54" s="3"/>
      <c r="H54" s="3"/>
      <c r="I54" s="26" t="s">
        <v>33</v>
      </c>
      <c r="J54" s="27">
        <f t="shared" si="4"/>
        <v>0.35915359891305354</v>
      </c>
    </row>
    <row r="55" spans="3:27" ht="15" customHeight="1" x14ac:dyDescent="0.2">
      <c r="C55" s="3"/>
      <c r="D55" s="3"/>
      <c r="E55" s="3"/>
      <c r="F55" s="3"/>
      <c r="G55" s="3"/>
      <c r="H55" s="3"/>
      <c r="I55" s="26" t="s">
        <v>35</v>
      </c>
      <c r="J55" s="27">
        <f t="shared" si="4"/>
        <v>0.13534369222760986</v>
      </c>
      <c r="N55" s="15"/>
      <c r="O55" s="15"/>
      <c r="P55" s="15"/>
    </row>
    <row r="56" spans="3:27" ht="15" customHeight="1" x14ac:dyDescent="0.2">
      <c r="O56" s="44"/>
      <c r="P56" s="44"/>
      <c r="Q56" s="44"/>
      <c r="R56" s="44"/>
      <c r="T56" s="15"/>
    </row>
    <row r="57" spans="3:27" ht="15" customHeight="1" x14ac:dyDescent="0.2">
      <c r="D57" s="66" t="s">
        <v>41</v>
      </c>
      <c r="E57" s="67"/>
      <c r="F57" s="67"/>
      <c r="G57" s="68"/>
      <c r="I57" s="15" t="s">
        <v>24</v>
      </c>
      <c r="O57" s="41"/>
      <c r="P57" s="41"/>
      <c r="Q57" s="41"/>
      <c r="R57" s="41"/>
      <c r="T57" s="3"/>
      <c r="U57" s="3"/>
    </row>
    <row r="58" spans="3:27" ht="15" customHeight="1" x14ac:dyDescent="0.2">
      <c r="D58" s="10">
        <f>P18</f>
        <v>4.3519999999999994</v>
      </c>
      <c r="E58" s="10"/>
      <c r="F58" s="10" t="s">
        <v>19</v>
      </c>
      <c r="G58" s="10"/>
      <c r="I58" s="2" t="s">
        <v>20</v>
      </c>
      <c r="J58" s="2">
        <v>0.92300000000000004</v>
      </c>
      <c r="O58" s="41"/>
      <c r="P58" s="41"/>
      <c r="Q58" s="41"/>
      <c r="R58" s="41"/>
      <c r="T58" s="3"/>
      <c r="U58" s="3"/>
    </row>
    <row r="59" spans="3:27" ht="15" customHeight="1" x14ac:dyDescent="0.2">
      <c r="D59" s="10">
        <f>Q18</f>
        <v>0.24039732189628751</v>
      </c>
      <c r="E59" s="10"/>
      <c r="F59" s="10" t="s">
        <v>10</v>
      </c>
      <c r="G59" s="10"/>
      <c r="I59" s="2" t="s">
        <v>21</v>
      </c>
      <c r="J59" s="2">
        <v>3.0779999999999998</v>
      </c>
      <c r="O59" s="41"/>
      <c r="P59" s="42"/>
      <c r="Q59" s="41"/>
      <c r="R59" s="41"/>
    </row>
    <row r="60" spans="3:27" ht="15" customHeight="1" x14ac:dyDescent="0.2">
      <c r="D60" s="10">
        <f>R18</f>
        <v>0.79000000000000015</v>
      </c>
      <c r="E60" s="11"/>
      <c r="F60" s="10" t="s">
        <v>11</v>
      </c>
      <c r="G60" s="10"/>
    </row>
    <row r="61" spans="3:27" ht="19" x14ac:dyDescent="0.25">
      <c r="C61" s="63" t="s">
        <v>27</v>
      </c>
      <c r="D61" s="63"/>
      <c r="E61" s="63"/>
      <c r="F61" s="63"/>
      <c r="G61" s="63"/>
      <c r="H61" s="63"/>
      <c r="I61" s="63"/>
      <c r="O61" s="3"/>
      <c r="P61" s="8"/>
      <c r="Q61" s="8"/>
      <c r="R61" s="3"/>
      <c r="S61" s="3"/>
    </row>
    <row r="62" spans="3:27" ht="15" customHeight="1" x14ac:dyDescent="0.2">
      <c r="C62" s="33" t="s">
        <v>1</v>
      </c>
      <c r="D62" s="33" t="s">
        <v>7</v>
      </c>
      <c r="E62" s="33" t="s">
        <v>43</v>
      </c>
      <c r="F62" s="33" t="s">
        <v>29</v>
      </c>
      <c r="G62" s="33" t="s">
        <v>31</v>
      </c>
      <c r="H62" s="33" t="s">
        <v>33</v>
      </c>
      <c r="I62" s="33" t="s">
        <v>35</v>
      </c>
      <c r="O62" s="8"/>
      <c r="P62" s="41"/>
      <c r="Q62" s="41"/>
      <c r="R62" s="3"/>
      <c r="S62" s="3"/>
    </row>
    <row r="63" spans="3:27" ht="15" customHeight="1" x14ac:dyDescent="0.2">
      <c r="C63" s="33">
        <v>1</v>
      </c>
      <c r="D63" s="33">
        <v>4.51</v>
      </c>
      <c r="E63" s="35">
        <v>4.3519999999999994</v>
      </c>
      <c r="F63" s="35">
        <v>4.5990865917433199</v>
      </c>
      <c r="G63" s="35">
        <v>4.1049134082566834</v>
      </c>
      <c r="H63" s="35">
        <v>4.5167243944955437</v>
      </c>
      <c r="I63" s="35">
        <v>4.1872756055044551</v>
      </c>
      <c r="O63" s="3"/>
      <c r="P63" s="38"/>
      <c r="Q63" s="14"/>
      <c r="R63" s="3"/>
      <c r="S63" s="3"/>
    </row>
    <row r="64" spans="3:27" ht="15" customHeight="1" x14ac:dyDescent="0.2">
      <c r="C64" s="33">
        <v>2</v>
      </c>
      <c r="D64" s="33">
        <v>4.49</v>
      </c>
      <c r="E64" s="35">
        <v>4.3519999999999994</v>
      </c>
      <c r="F64" s="35">
        <v>4.5990865917433155</v>
      </c>
      <c r="G64" s="35">
        <v>4.1049134082566834</v>
      </c>
      <c r="H64" s="35">
        <v>4.5167243944955437</v>
      </c>
      <c r="I64" s="35">
        <v>4.1872756055044551</v>
      </c>
    </row>
    <row r="65" spans="3:21" ht="15" customHeight="1" x14ac:dyDescent="0.2">
      <c r="C65" s="33">
        <v>3</v>
      </c>
      <c r="D65" s="33">
        <v>4.33</v>
      </c>
      <c r="E65" s="35">
        <v>4.3519999999999994</v>
      </c>
      <c r="F65" s="35">
        <v>4.5990865917433155</v>
      </c>
      <c r="G65" s="35">
        <v>4.1049134082566834</v>
      </c>
      <c r="H65" s="35">
        <v>4.5167243944955437</v>
      </c>
      <c r="I65" s="35">
        <v>4.1872756055044551</v>
      </c>
    </row>
    <row r="66" spans="3:21" ht="15" customHeight="1" x14ac:dyDescent="0.2">
      <c r="C66" s="33">
        <v>4</v>
      </c>
      <c r="D66" s="33">
        <v>4.4099999999999993</v>
      </c>
      <c r="E66" s="35">
        <v>4.3519999999999994</v>
      </c>
      <c r="F66" s="35">
        <v>4.5990865917433155</v>
      </c>
      <c r="G66" s="35">
        <v>4.1049134082566834</v>
      </c>
      <c r="H66" s="35">
        <v>4.5167243944955437</v>
      </c>
      <c r="I66" s="35">
        <v>4.1872756055044551</v>
      </c>
      <c r="N66" s="25"/>
    </row>
    <row r="67" spans="3:21" ht="15" customHeight="1" x14ac:dyDescent="0.2">
      <c r="C67" s="33">
        <v>5</v>
      </c>
      <c r="D67" s="33">
        <v>4.42</v>
      </c>
      <c r="E67" s="35">
        <v>4.3519999999999994</v>
      </c>
      <c r="F67" s="35">
        <v>4.5990865917433155</v>
      </c>
      <c r="G67" s="35">
        <v>4.1049134082566834</v>
      </c>
      <c r="H67" s="35">
        <v>4.5167243944955437</v>
      </c>
      <c r="I67" s="35">
        <v>4.1872756055044551</v>
      </c>
    </row>
    <row r="68" spans="3:21" ht="15" customHeight="1" x14ac:dyDescent="0.2">
      <c r="C68" s="33">
        <v>6</v>
      </c>
      <c r="D68" s="33">
        <v>4.2300000000000004</v>
      </c>
      <c r="E68" s="35">
        <v>4.3519999999999994</v>
      </c>
      <c r="F68" s="35">
        <v>4.5990865917433155</v>
      </c>
      <c r="G68" s="35">
        <v>4.1049134082566834</v>
      </c>
      <c r="H68" s="35">
        <v>4.5167243944955437</v>
      </c>
      <c r="I68" s="35">
        <v>4.1872756055044551</v>
      </c>
    </row>
    <row r="69" spans="3:21" ht="15" customHeight="1" x14ac:dyDescent="0.2">
      <c r="C69" s="33">
        <v>7</v>
      </c>
      <c r="D69" s="33">
        <v>4.49</v>
      </c>
      <c r="E69" s="35">
        <v>4.3519999999999994</v>
      </c>
      <c r="F69" s="35">
        <v>4.5990865917433155</v>
      </c>
      <c r="G69" s="35">
        <v>4.1049134082566834</v>
      </c>
      <c r="H69" s="35">
        <v>4.5167243944955437</v>
      </c>
      <c r="I69" s="35">
        <v>4.1872756055044551</v>
      </c>
      <c r="N69" s="45"/>
      <c r="O69" s="45"/>
      <c r="P69" s="3"/>
      <c r="Q69" s="3"/>
      <c r="R69" s="3"/>
      <c r="S69" s="3"/>
      <c r="T69" s="46"/>
      <c r="U69" s="46"/>
    </row>
    <row r="70" spans="3:21" ht="15" customHeight="1" x14ac:dyDescent="0.2">
      <c r="C70" s="33">
        <v>8</v>
      </c>
      <c r="D70" s="33">
        <v>4.2699999999999996</v>
      </c>
      <c r="E70" s="35">
        <v>4.3519999999999994</v>
      </c>
      <c r="F70" s="35">
        <v>4.5990865917433155</v>
      </c>
      <c r="G70" s="35">
        <v>4.1049134082566834</v>
      </c>
      <c r="H70" s="35">
        <v>4.5167243944955437</v>
      </c>
      <c r="I70" s="35">
        <v>4.1872756055044551</v>
      </c>
      <c r="N70" s="3"/>
      <c r="O70" s="47"/>
      <c r="P70" s="3"/>
      <c r="Q70" s="3"/>
      <c r="R70" s="3"/>
      <c r="S70" s="3"/>
      <c r="T70" s="48"/>
      <c r="U70" s="49"/>
    </row>
    <row r="71" spans="3:21" x14ac:dyDescent="0.2">
      <c r="C71" s="33">
        <v>9</v>
      </c>
      <c r="D71" s="33">
        <v>4.42</v>
      </c>
      <c r="E71" s="35">
        <v>4.3519999999999994</v>
      </c>
      <c r="F71" s="35">
        <v>4.5990865917433155</v>
      </c>
      <c r="G71" s="35">
        <v>4.1049134082566834</v>
      </c>
      <c r="H71" s="35">
        <v>4.5167243944955437</v>
      </c>
      <c r="I71" s="35">
        <v>4.1872756055044551</v>
      </c>
      <c r="N71" s="3"/>
      <c r="O71" s="47"/>
      <c r="P71" s="3"/>
      <c r="Q71" s="3"/>
      <c r="R71" s="3"/>
      <c r="S71" s="3"/>
      <c r="T71" s="48"/>
      <c r="U71" s="49"/>
    </row>
    <row r="72" spans="3:21" x14ac:dyDescent="0.2">
      <c r="C72" s="33">
        <v>10</v>
      </c>
      <c r="D72" s="33">
        <v>3.95</v>
      </c>
      <c r="E72" s="35">
        <v>4.3519999999999994</v>
      </c>
      <c r="F72" s="35">
        <v>4.5990865917433155</v>
      </c>
      <c r="G72" s="35">
        <v>4.1049134082566834</v>
      </c>
      <c r="H72" s="35">
        <v>4.5167243944955437</v>
      </c>
      <c r="I72" s="35">
        <v>4.1872756055044551</v>
      </c>
      <c r="N72" s="3"/>
      <c r="O72" s="47"/>
      <c r="P72" s="3"/>
      <c r="Q72" s="3"/>
      <c r="R72" s="3"/>
      <c r="S72" s="3"/>
      <c r="T72" s="48"/>
      <c r="U72" s="49"/>
    </row>
    <row r="73" spans="3:21" x14ac:dyDescent="0.2">
      <c r="D73" s="32"/>
      <c r="N73" s="3"/>
      <c r="O73" s="47"/>
      <c r="P73" s="3"/>
      <c r="Q73" s="3"/>
      <c r="R73" s="3"/>
      <c r="S73" s="3"/>
      <c r="T73" s="48"/>
      <c r="U73" s="49"/>
    </row>
    <row r="74" spans="3:21" x14ac:dyDescent="0.2">
      <c r="N74" s="3"/>
      <c r="O74" s="3"/>
      <c r="P74" s="3"/>
      <c r="Q74" s="3"/>
      <c r="R74" s="3"/>
      <c r="S74" s="3"/>
      <c r="T74" s="48"/>
      <c r="U74" s="49"/>
    </row>
    <row r="75" spans="3:21" ht="19" x14ac:dyDescent="0.25">
      <c r="C75" s="63" t="s">
        <v>46</v>
      </c>
      <c r="D75" s="63"/>
      <c r="E75" s="63"/>
      <c r="F75" s="63"/>
      <c r="G75" s="63"/>
      <c r="H75" s="63"/>
      <c r="I75" s="63"/>
      <c r="N75" s="3"/>
      <c r="O75" s="3"/>
      <c r="P75" s="3"/>
      <c r="Q75" s="3"/>
      <c r="R75" s="3"/>
      <c r="S75" s="3"/>
      <c r="T75" s="48"/>
      <c r="U75" s="49"/>
    </row>
    <row r="76" spans="3:21" x14ac:dyDescent="0.2">
      <c r="C76" s="33" t="s">
        <v>1</v>
      </c>
      <c r="D76" s="33" t="s">
        <v>47</v>
      </c>
      <c r="E76" s="33" t="s">
        <v>48</v>
      </c>
      <c r="F76" s="33" t="s">
        <v>29</v>
      </c>
      <c r="G76" s="33" t="s">
        <v>31</v>
      </c>
      <c r="H76" s="33" t="s">
        <v>33</v>
      </c>
      <c r="I76" s="33" t="s">
        <v>35</v>
      </c>
      <c r="N76" s="3"/>
      <c r="O76" s="3"/>
      <c r="P76" s="3"/>
      <c r="Q76" s="3"/>
      <c r="R76" s="3"/>
      <c r="S76" s="3"/>
      <c r="T76" s="48"/>
      <c r="U76" s="49"/>
    </row>
    <row r="77" spans="3:21" x14ac:dyDescent="0.2">
      <c r="C77" s="33">
        <v>1</v>
      </c>
      <c r="D77" s="36">
        <v>0.17578395831246935</v>
      </c>
      <c r="E77" s="35">
        <v>0.24039732189628751</v>
      </c>
      <c r="F77" s="35">
        <v>0.43487875531038411</v>
      </c>
      <c r="G77" s="35">
        <v>8.8225817135937509E-2</v>
      </c>
      <c r="H77" s="35">
        <v>0.35915359891305354</v>
      </c>
      <c r="I77" s="35">
        <v>0.13534369222760986</v>
      </c>
      <c r="N77" s="3"/>
      <c r="O77" s="3"/>
      <c r="P77" s="3"/>
      <c r="Q77" s="3"/>
      <c r="R77" s="3"/>
      <c r="S77" s="3"/>
      <c r="T77" s="48"/>
      <c r="U77" s="49"/>
    </row>
    <row r="78" spans="3:21" x14ac:dyDescent="0.2">
      <c r="C78" s="33">
        <v>2</v>
      </c>
      <c r="D78" s="36">
        <v>0.34770677301427416</v>
      </c>
      <c r="E78" s="35">
        <v>0.24039732189628751</v>
      </c>
      <c r="F78" s="35">
        <v>0.43487875531038411</v>
      </c>
      <c r="G78" s="35">
        <v>8.8225817135937509E-2</v>
      </c>
      <c r="H78" s="35">
        <v>0.35915359891305354</v>
      </c>
      <c r="I78" s="35">
        <v>0.13534369222760986</v>
      </c>
      <c r="N78" s="3"/>
      <c r="O78" s="3"/>
      <c r="P78" s="3"/>
      <c r="Q78" s="3"/>
      <c r="R78" s="3"/>
      <c r="S78" s="3"/>
      <c r="T78" s="48"/>
      <c r="U78" s="50"/>
    </row>
    <row r="79" spans="3:21" x14ac:dyDescent="0.2">
      <c r="C79" s="33">
        <v>3</v>
      </c>
      <c r="D79" s="36">
        <v>0.25317977802344327</v>
      </c>
      <c r="E79" s="35">
        <v>0.24039732189628751</v>
      </c>
      <c r="F79" s="35">
        <v>0.43487875531038411</v>
      </c>
      <c r="G79" s="35">
        <v>8.8225817135937509E-2</v>
      </c>
      <c r="H79" s="35">
        <v>0.35915359891305354</v>
      </c>
      <c r="I79" s="35">
        <v>0.13534369222760986</v>
      </c>
      <c r="N79" s="3"/>
      <c r="O79" s="3"/>
      <c r="P79" s="3"/>
      <c r="Q79" s="3"/>
      <c r="R79" s="3"/>
      <c r="S79" s="3"/>
      <c r="T79" s="48"/>
      <c r="U79" s="50"/>
    </row>
    <row r="80" spans="3:21" x14ac:dyDescent="0.2">
      <c r="C80" s="33">
        <v>4</v>
      </c>
      <c r="D80" s="36">
        <v>0.27000000000000007</v>
      </c>
      <c r="E80" s="35">
        <v>0.24039732189628751</v>
      </c>
      <c r="F80" s="35">
        <v>0.43487875531038411</v>
      </c>
      <c r="G80" s="35">
        <v>8.8225817135937509E-2</v>
      </c>
      <c r="H80" s="35">
        <v>0.35915359891305354</v>
      </c>
      <c r="I80" s="35">
        <v>0.13534369222760986</v>
      </c>
      <c r="N80" s="3"/>
      <c r="O80" s="3"/>
      <c r="P80" s="3"/>
      <c r="Q80" s="3"/>
      <c r="R80" s="3"/>
      <c r="S80" s="3"/>
      <c r="T80" s="48"/>
      <c r="U80" s="50"/>
    </row>
    <row r="81" spans="3:28" x14ac:dyDescent="0.2">
      <c r="C81" s="33">
        <v>5</v>
      </c>
      <c r="D81" s="36">
        <v>0.20396078054371145</v>
      </c>
      <c r="E81" s="35">
        <v>0.24039732189628751</v>
      </c>
      <c r="F81" s="35">
        <v>0.43487875531038411</v>
      </c>
      <c r="G81" s="35">
        <v>8.8225817135937509E-2</v>
      </c>
      <c r="H81" s="35">
        <v>0.35915359891305354</v>
      </c>
      <c r="I81" s="35">
        <v>0.13534369222760986</v>
      </c>
      <c r="N81" s="3"/>
      <c r="O81" s="3"/>
      <c r="P81" s="3"/>
      <c r="Q81" s="3"/>
      <c r="R81" s="3"/>
      <c r="S81" s="3"/>
      <c r="T81" s="48"/>
      <c r="U81" s="50"/>
    </row>
    <row r="82" spans="3:28" x14ac:dyDescent="0.2">
      <c r="C82" s="33">
        <v>6</v>
      </c>
      <c r="D82" s="36">
        <v>0.16155494421403521</v>
      </c>
      <c r="E82" s="35">
        <v>0.24039732189628751</v>
      </c>
      <c r="F82" s="35">
        <v>0.43487875531038411</v>
      </c>
      <c r="G82" s="35">
        <v>8.8225817135937509E-2</v>
      </c>
      <c r="H82" s="35">
        <v>0.35915359891305354</v>
      </c>
      <c r="I82" s="35">
        <v>0.13534369222760986</v>
      </c>
    </row>
    <row r="83" spans="3:28" ht="19" x14ac:dyDescent="0.25">
      <c r="C83" s="33">
        <v>7</v>
      </c>
      <c r="D83" s="36">
        <v>0.22561028345356945</v>
      </c>
      <c r="E83" s="35">
        <v>0.24039732189628751</v>
      </c>
      <c r="F83" s="35">
        <v>0.43487875531038411</v>
      </c>
      <c r="G83" s="35">
        <v>8.8225817135937509E-2</v>
      </c>
      <c r="H83" s="35">
        <v>0.35915359891305354</v>
      </c>
      <c r="I83" s="35">
        <v>0.13534369222760986</v>
      </c>
      <c r="N83" s="64"/>
      <c r="O83" s="64"/>
      <c r="P83" s="64"/>
      <c r="Q83" s="64"/>
      <c r="R83" s="64"/>
      <c r="S83" s="64"/>
      <c r="T83" s="64"/>
      <c r="V83" s="64"/>
      <c r="W83" s="64"/>
      <c r="X83" s="64"/>
      <c r="Y83" s="64"/>
      <c r="Z83" s="64"/>
      <c r="AA83" s="64"/>
      <c r="AB83" s="64"/>
    </row>
    <row r="84" spans="3:28" x14ac:dyDescent="0.2">
      <c r="C84" s="33">
        <v>8</v>
      </c>
      <c r="D84" s="36">
        <v>0.24103941586387909</v>
      </c>
      <c r="E84" s="35">
        <v>0.24039732189628751</v>
      </c>
      <c r="F84" s="35">
        <v>0.43487875531038411</v>
      </c>
      <c r="G84" s="35">
        <v>8.8225817135937509E-2</v>
      </c>
      <c r="H84" s="35">
        <v>0.35915359891305354</v>
      </c>
      <c r="I84" s="35">
        <v>0.13534369222760986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3:28" x14ac:dyDescent="0.2">
      <c r="C85" s="33">
        <v>9</v>
      </c>
      <c r="D85" s="36">
        <v>0.2521904042583698</v>
      </c>
      <c r="E85" s="35">
        <v>0.24039732189628751</v>
      </c>
      <c r="F85" s="35">
        <v>0.43487875531038411</v>
      </c>
      <c r="G85" s="35">
        <v>8.8225817135937509E-2</v>
      </c>
      <c r="H85" s="35">
        <v>0.35915359891305354</v>
      </c>
      <c r="I85" s="35">
        <v>0.13534369222760986</v>
      </c>
      <c r="N85" s="3"/>
      <c r="O85" s="3"/>
      <c r="P85" s="41"/>
      <c r="Q85" s="41"/>
      <c r="R85" s="41"/>
      <c r="S85" s="41"/>
      <c r="T85" s="41"/>
      <c r="U85" s="3"/>
      <c r="V85" s="3"/>
      <c r="W85" s="43"/>
      <c r="X85" s="41"/>
      <c r="Y85" s="41"/>
      <c r="Z85" s="41"/>
      <c r="AA85" s="41"/>
      <c r="AB85" s="41"/>
    </row>
    <row r="86" spans="3:28" x14ac:dyDescent="0.2">
      <c r="C86" s="33">
        <v>10</v>
      </c>
      <c r="D86" s="36">
        <v>0.2729468812791237</v>
      </c>
      <c r="E86" s="35">
        <v>0.24039732189628751</v>
      </c>
      <c r="F86" s="35">
        <v>0.43487875531038411</v>
      </c>
      <c r="G86" s="35">
        <v>8.8225817135937509E-2</v>
      </c>
      <c r="H86" s="35">
        <v>0.35915359891305354</v>
      </c>
      <c r="I86" s="35">
        <v>0.13534369222760986</v>
      </c>
      <c r="N86" s="3"/>
      <c r="O86" s="3"/>
      <c r="P86" s="41"/>
      <c r="Q86" s="41"/>
      <c r="R86" s="41"/>
      <c r="S86" s="41"/>
      <c r="T86" s="41"/>
      <c r="V86" s="3"/>
      <c r="W86" s="43"/>
      <c r="X86" s="41"/>
      <c r="Y86" s="41"/>
      <c r="Z86" s="41"/>
      <c r="AA86" s="41"/>
      <c r="AB86" s="41"/>
    </row>
    <row r="87" spans="3:28" x14ac:dyDescent="0.2">
      <c r="N87" s="3"/>
      <c r="O87" s="3"/>
      <c r="P87" s="41"/>
      <c r="Q87" s="41"/>
      <c r="R87" s="41"/>
      <c r="S87" s="41"/>
      <c r="T87" s="41"/>
      <c r="V87" s="3"/>
      <c r="W87" s="43"/>
      <c r="X87" s="41"/>
      <c r="Y87" s="41"/>
      <c r="Z87" s="41"/>
      <c r="AA87" s="41"/>
      <c r="AB87" s="41"/>
    </row>
    <row r="88" spans="3:28" x14ac:dyDescent="0.2">
      <c r="N88" s="3"/>
      <c r="O88" s="3"/>
      <c r="P88" s="41"/>
      <c r="Q88" s="41"/>
      <c r="R88" s="41"/>
      <c r="S88" s="41"/>
      <c r="T88" s="41"/>
      <c r="V88" s="3"/>
      <c r="W88" s="43"/>
      <c r="X88" s="41"/>
      <c r="Y88" s="41"/>
      <c r="Z88" s="41"/>
      <c r="AA88" s="41"/>
      <c r="AB88" s="41"/>
    </row>
    <row r="89" spans="3:28" x14ac:dyDescent="0.2">
      <c r="N89" s="3"/>
      <c r="O89" s="3"/>
      <c r="P89" s="41"/>
      <c r="Q89" s="41"/>
      <c r="R89" s="41"/>
      <c r="S89" s="41"/>
      <c r="T89" s="41"/>
      <c r="V89" s="3"/>
      <c r="W89" s="43"/>
      <c r="X89" s="41"/>
      <c r="Y89" s="41"/>
      <c r="Z89" s="41"/>
      <c r="AA89" s="41"/>
      <c r="AB89" s="41"/>
    </row>
    <row r="90" spans="3:28" x14ac:dyDescent="0.2">
      <c r="N90" s="3"/>
      <c r="O90" s="3"/>
      <c r="P90" s="41"/>
      <c r="Q90" s="41"/>
      <c r="R90" s="41"/>
      <c r="S90" s="41"/>
      <c r="T90" s="41"/>
      <c r="V90" s="3"/>
      <c r="W90" s="43"/>
      <c r="X90" s="41"/>
      <c r="Y90" s="41"/>
      <c r="Z90" s="41"/>
      <c r="AA90" s="41"/>
      <c r="AB90" s="41"/>
    </row>
    <row r="91" spans="3:28" x14ac:dyDescent="0.2">
      <c r="N91" s="3"/>
      <c r="O91" s="3"/>
      <c r="P91" s="41"/>
      <c r="Q91" s="41"/>
      <c r="R91" s="41"/>
      <c r="S91" s="41"/>
      <c r="T91" s="41"/>
      <c r="V91" s="3"/>
      <c r="W91" s="43"/>
      <c r="X91" s="41"/>
      <c r="Y91" s="41"/>
      <c r="Z91" s="41"/>
      <c r="AA91" s="41"/>
      <c r="AB91" s="41"/>
    </row>
    <row r="92" spans="3:28" x14ac:dyDescent="0.2">
      <c r="N92" s="3"/>
      <c r="O92" s="3"/>
      <c r="P92" s="41"/>
      <c r="Q92" s="41"/>
      <c r="R92" s="41"/>
      <c r="S92" s="41"/>
      <c r="T92" s="41"/>
      <c r="V92" s="3"/>
      <c r="W92" s="43"/>
      <c r="X92" s="41"/>
      <c r="Y92" s="41"/>
      <c r="Z92" s="41"/>
      <c r="AA92" s="41"/>
      <c r="AB92" s="41"/>
    </row>
    <row r="93" spans="3:28" x14ac:dyDescent="0.2">
      <c r="N93" s="3"/>
      <c r="O93" s="3"/>
      <c r="P93" s="41"/>
      <c r="Q93" s="41"/>
      <c r="R93" s="41"/>
      <c r="S93" s="41"/>
      <c r="T93" s="41"/>
      <c r="V93" s="3"/>
      <c r="W93" s="43"/>
      <c r="X93" s="41"/>
      <c r="Y93" s="41"/>
      <c r="Z93" s="41"/>
      <c r="AA93" s="41"/>
      <c r="AB93" s="41"/>
    </row>
    <row r="94" spans="3:28" x14ac:dyDescent="0.2">
      <c r="C94" s="33" t="s">
        <v>1</v>
      </c>
      <c r="D94" t="s">
        <v>13</v>
      </c>
      <c r="E94" t="s">
        <v>64</v>
      </c>
      <c r="F94" t="s">
        <v>65</v>
      </c>
      <c r="N94" s="3"/>
      <c r="O94" s="3"/>
      <c r="P94" s="41"/>
      <c r="Q94" s="41"/>
      <c r="R94" s="41"/>
      <c r="S94" s="41"/>
      <c r="T94" s="41"/>
      <c r="V94" s="3"/>
      <c r="W94" s="43"/>
      <c r="X94" s="41"/>
      <c r="Y94" s="41"/>
      <c r="Z94" s="41"/>
      <c r="AA94" s="41"/>
      <c r="AB94" s="41"/>
    </row>
    <row r="95" spans="3:28" x14ac:dyDescent="0.2">
      <c r="C95" s="33">
        <v>1</v>
      </c>
      <c r="D95">
        <v>0.59999999999999964</v>
      </c>
      <c r="E95">
        <f>D108*D105</f>
        <v>1.5326000000000002</v>
      </c>
      <c r="F95">
        <f>C108*D105</f>
        <v>0.27650000000000002</v>
      </c>
      <c r="N95" s="3"/>
      <c r="O95" s="32"/>
      <c r="P95" s="41"/>
      <c r="Q95" s="41"/>
      <c r="R95" s="41"/>
      <c r="S95" s="41"/>
      <c r="T95" s="41"/>
      <c r="V95" s="3"/>
      <c r="W95" s="43"/>
      <c r="X95" s="41"/>
      <c r="Y95" s="41"/>
      <c r="Z95" s="41"/>
      <c r="AA95" s="41"/>
      <c r="AB95" s="41"/>
    </row>
    <row r="96" spans="3:28" x14ac:dyDescent="0.2">
      <c r="C96" s="33">
        <v>2</v>
      </c>
      <c r="D96">
        <v>1.2000000000000002</v>
      </c>
      <c r="E96">
        <v>1.5326000000000002</v>
      </c>
      <c r="F96">
        <v>0.27650000000000002</v>
      </c>
      <c r="N96" s="3"/>
      <c r="O96" s="32"/>
      <c r="P96" s="41"/>
      <c r="Q96" s="41"/>
      <c r="R96" s="41"/>
      <c r="S96" s="41"/>
      <c r="T96" s="41"/>
      <c r="V96" s="3"/>
      <c r="W96" s="43"/>
      <c r="X96" s="41"/>
      <c r="Y96" s="41"/>
      <c r="Z96" s="41"/>
      <c r="AA96" s="41"/>
      <c r="AB96" s="41"/>
    </row>
    <row r="97" spans="3:28" x14ac:dyDescent="0.2">
      <c r="C97" s="33">
        <v>3</v>
      </c>
      <c r="D97">
        <v>0.70000000000000018</v>
      </c>
      <c r="E97">
        <v>1.5326000000000002</v>
      </c>
      <c r="F97">
        <v>0.27650000000000002</v>
      </c>
      <c r="N97" s="3"/>
      <c r="O97" s="32"/>
      <c r="P97" s="41"/>
      <c r="Q97" s="41"/>
      <c r="R97" s="41"/>
      <c r="S97" s="41"/>
      <c r="T97" s="41"/>
      <c r="V97" s="3"/>
      <c r="W97" s="43"/>
      <c r="X97" s="41"/>
      <c r="Y97" s="41"/>
      <c r="Z97" s="41"/>
      <c r="AA97" s="41"/>
      <c r="AB97" s="41"/>
    </row>
    <row r="98" spans="3:28" x14ac:dyDescent="0.2">
      <c r="C98" s="33">
        <v>4</v>
      </c>
      <c r="D98">
        <v>1</v>
      </c>
      <c r="E98">
        <v>1.5326000000000002</v>
      </c>
      <c r="F98">
        <v>0.27650000000000002</v>
      </c>
      <c r="N98" s="3"/>
      <c r="O98" s="32"/>
      <c r="P98" s="41"/>
      <c r="Q98" s="41"/>
      <c r="R98" s="41"/>
      <c r="S98" s="41"/>
      <c r="T98" s="41"/>
      <c r="V98" s="3"/>
      <c r="W98" s="43"/>
      <c r="X98" s="41"/>
      <c r="Y98" s="41"/>
      <c r="Z98" s="41"/>
      <c r="AA98" s="41"/>
      <c r="AB98" s="41"/>
    </row>
    <row r="99" spans="3:28" x14ac:dyDescent="0.2">
      <c r="C99" s="33">
        <v>5</v>
      </c>
      <c r="D99">
        <v>0.60000000000000053</v>
      </c>
      <c r="E99">
        <v>1.5326000000000002</v>
      </c>
      <c r="F99">
        <v>0.27650000000000002</v>
      </c>
      <c r="N99" s="3"/>
      <c r="O99" s="32"/>
      <c r="P99" s="41"/>
      <c r="Q99" s="41"/>
      <c r="R99" s="41"/>
      <c r="S99" s="41"/>
      <c r="T99" s="41"/>
      <c r="V99" s="3"/>
      <c r="W99" s="43"/>
      <c r="X99" s="41"/>
      <c r="Y99" s="41"/>
      <c r="Z99" s="41"/>
      <c r="AA99" s="41"/>
      <c r="AB99" s="41"/>
    </row>
    <row r="100" spans="3:28" x14ac:dyDescent="0.2">
      <c r="C100" s="33">
        <v>6</v>
      </c>
      <c r="D100">
        <v>0.5</v>
      </c>
      <c r="E100">
        <v>1.5326000000000002</v>
      </c>
      <c r="F100">
        <v>0.27650000000000002</v>
      </c>
      <c r="N100" s="3"/>
      <c r="O100" s="32"/>
      <c r="P100" s="41"/>
      <c r="Q100" s="41"/>
      <c r="R100" s="41"/>
      <c r="S100" s="41"/>
      <c r="T100" s="41"/>
      <c r="V100" s="3"/>
      <c r="W100" s="43"/>
      <c r="X100" s="41"/>
      <c r="Y100" s="41"/>
      <c r="Z100" s="41"/>
      <c r="AA100" s="41"/>
      <c r="AB100" s="41"/>
    </row>
    <row r="101" spans="3:28" x14ac:dyDescent="0.2">
      <c r="C101" s="33">
        <v>7</v>
      </c>
      <c r="D101">
        <v>0.79999999999999982</v>
      </c>
      <c r="E101">
        <v>1.5326000000000002</v>
      </c>
      <c r="F101">
        <v>0.27650000000000002</v>
      </c>
      <c r="N101" s="3"/>
      <c r="O101" s="32"/>
      <c r="P101" s="41"/>
      <c r="Q101" s="41"/>
      <c r="R101" s="41"/>
      <c r="S101" s="41"/>
      <c r="T101" s="41"/>
      <c r="V101" s="3"/>
      <c r="W101" s="43"/>
      <c r="X101" s="41"/>
      <c r="Y101" s="41"/>
      <c r="Z101" s="41"/>
      <c r="AA101" s="41"/>
      <c r="AB101" s="41"/>
    </row>
    <row r="102" spans="3:28" x14ac:dyDescent="0.2">
      <c r="C102" s="33">
        <v>8</v>
      </c>
      <c r="D102">
        <v>0.80000000000000027</v>
      </c>
      <c r="E102">
        <v>1.5326000000000002</v>
      </c>
      <c r="F102">
        <v>0.27650000000000002</v>
      </c>
      <c r="N102" s="3"/>
      <c r="O102" s="32"/>
      <c r="P102" s="41"/>
      <c r="Q102" s="41"/>
      <c r="R102" s="41"/>
      <c r="S102" s="41"/>
      <c r="T102" s="41"/>
      <c r="V102" s="3"/>
      <c r="W102" s="43"/>
      <c r="X102" s="41"/>
      <c r="Y102" s="41"/>
      <c r="Z102" s="41"/>
      <c r="AA102" s="41"/>
      <c r="AB102" s="41"/>
    </row>
    <row r="103" spans="3:28" x14ac:dyDescent="0.2">
      <c r="C103" s="33">
        <v>9</v>
      </c>
      <c r="D103">
        <v>0.79999999999999982</v>
      </c>
      <c r="E103">
        <v>1.5326000000000002</v>
      </c>
      <c r="F103">
        <v>0.27650000000000002</v>
      </c>
    </row>
    <row r="104" spans="3:28" x14ac:dyDescent="0.2">
      <c r="C104" s="33">
        <v>10</v>
      </c>
      <c r="D104">
        <v>0.90000000000000036</v>
      </c>
      <c r="E104">
        <v>1.5326000000000002</v>
      </c>
      <c r="F104">
        <v>0.27650000000000002</v>
      </c>
    </row>
    <row r="105" spans="3:28" x14ac:dyDescent="0.2">
      <c r="D105">
        <f>AVERAGE(D95:D104)</f>
        <v>0.79000000000000015</v>
      </c>
    </row>
    <row r="108" spans="3:28" ht="16" x14ac:dyDescent="0.2">
      <c r="C108" s="70">
        <v>0.35</v>
      </c>
      <c r="D108" s="70">
        <v>1.94</v>
      </c>
      <c r="E108" s="70">
        <v>0.54</v>
      </c>
      <c r="F108" s="70">
        <v>1.56</v>
      </c>
    </row>
    <row r="109" spans="3:28" x14ac:dyDescent="0.2">
      <c r="C109" t="s">
        <v>66</v>
      </c>
      <c r="D109" t="s">
        <v>67</v>
      </c>
      <c r="E109" t="s">
        <v>68</v>
      </c>
      <c r="F109" t="s">
        <v>69</v>
      </c>
    </row>
  </sheetData>
  <mergeCells count="11">
    <mergeCell ref="N83:T83"/>
    <mergeCell ref="V83:AB83"/>
    <mergeCell ref="C43:D43"/>
    <mergeCell ref="I43:J43"/>
    <mergeCell ref="D57:G57"/>
    <mergeCell ref="C61:I61"/>
    <mergeCell ref="A1:M1"/>
    <mergeCell ref="A7:B8"/>
    <mergeCell ref="C7:L7"/>
    <mergeCell ref="A9:A34"/>
    <mergeCell ref="C75:I7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9A2C-140D-5A40-B7A0-FF79800D700D}">
  <dimension ref="A1:X71"/>
  <sheetViews>
    <sheetView tabSelected="1" topLeftCell="A51" zoomScale="200" workbookViewId="0">
      <selection activeCell="F54" sqref="E54:F54"/>
    </sheetView>
  </sheetViews>
  <sheetFormatPr baseColWidth="10" defaultRowHeight="15" x14ac:dyDescent="0.2"/>
  <sheetData>
    <row r="1" spans="1:15" x14ac:dyDescent="0.2">
      <c r="A1" s="3"/>
      <c r="B1" s="16"/>
      <c r="C1" s="3"/>
      <c r="D1" s="13"/>
      <c r="E1" s="3"/>
      <c r="O1" s="17"/>
    </row>
    <row r="2" spans="1:15" x14ac:dyDescent="0.2">
      <c r="A2" s="3"/>
      <c r="B2" s="16"/>
      <c r="O2" s="17"/>
    </row>
    <row r="3" spans="1:15" ht="16" x14ac:dyDescent="0.2">
      <c r="A3" s="3"/>
      <c r="B3" s="20" t="s">
        <v>16</v>
      </c>
      <c r="O3" s="17"/>
    </row>
    <row r="4" spans="1:15" x14ac:dyDescent="0.2">
      <c r="B4" s="18" t="s">
        <v>17</v>
      </c>
      <c r="C4" s="9">
        <v>1</v>
      </c>
      <c r="D4" s="9">
        <v>2</v>
      </c>
      <c r="E4" s="9">
        <v>3</v>
      </c>
      <c r="F4" s="9">
        <v>4</v>
      </c>
      <c r="G4" s="9">
        <v>5</v>
      </c>
      <c r="H4" s="9">
        <v>6</v>
      </c>
      <c r="I4" s="9">
        <v>7</v>
      </c>
      <c r="J4" s="9">
        <v>8</v>
      </c>
      <c r="K4" s="9">
        <v>9</v>
      </c>
      <c r="L4" s="9">
        <v>10</v>
      </c>
      <c r="M4" s="9" t="s">
        <v>7</v>
      </c>
      <c r="N4" s="9" t="s">
        <v>8</v>
      </c>
      <c r="O4" s="21" t="s">
        <v>9</v>
      </c>
    </row>
    <row r="5" spans="1:15" x14ac:dyDescent="0.2">
      <c r="B5" s="18">
        <v>1</v>
      </c>
      <c r="C5" s="9">
        <v>4.5999999999999996</v>
      </c>
      <c r="D5" s="9">
        <v>4.7</v>
      </c>
      <c r="E5" s="9">
        <v>4.4000000000000004</v>
      </c>
      <c r="F5" s="9">
        <v>4.4000000000000004</v>
      </c>
      <c r="G5" s="9">
        <v>4.2</v>
      </c>
      <c r="H5" s="9">
        <v>4.3</v>
      </c>
      <c r="I5" s="9">
        <v>4.8</v>
      </c>
      <c r="J5" s="9">
        <v>4.5999999999999996</v>
      </c>
      <c r="K5" s="9">
        <v>4.5999999999999996</v>
      </c>
      <c r="L5" s="9">
        <v>4.5</v>
      </c>
      <c r="M5" s="9">
        <f>AVERAGE(C5:L5)</f>
        <v>4.51</v>
      </c>
      <c r="N5" s="37">
        <f>_xlfn.STDEV.P(C5:L5)</f>
        <v>0.17578395831246935</v>
      </c>
      <c r="O5" s="21">
        <f>MAX(C5:L5)-MIN(C5:L5)</f>
        <v>0.59999999999999964</v>
      </c>
    </row>
    <row r="6" spans="1:15" x14ac:dyDescent="0.2">
      <c r="B6" s="18">
        <v>2</v>
      </c>
      <c r="C6" s="9">
        <v>4.4000000000000004</v>
      </c>
      <c r="D6" s="9">
        <v>4.2</v>
      </c>
      <c r="E6" s="9">
        <v>5.3</v>
      </c>
      <c r="F6" s="9">
        <v>4.8</v>
      </c>
      <c r="G6" s="9">
        <v>4.5</v>
      </c>
      <c r="H6" s="9">
        <v>4.3</v>
      </c>
      <c r="I6" s="9">
        <v>4.0999999999999996</v>
      </c>
      <c r="J6" s="9">
        <v>4.5999999999999996</v>
      </c>
      <c r="K6" s="9">
        <v>4.0999999999999996</v>
      </c>
      <c r="L6" s="9">
        <v>4.5999999999999996</v>
      </c>
      <c r="M6" s="9">
        <f t="shared" ref="M6:M22" si="0">AVERAGE(C6:L6)</f>
        <v>4.49</v>
      </c>
      <c r="N6" s="37">
        <f t="shared" ref="N6:N22" si="1">_xlfn.STDEV.P(C6:L6)</f>
        <v>0.34770677301427416</v>
      </c>
      <c r="O6" s="21">
        <f t="shared" ref="O6:O22" si="2">MAX(C6:L6)-MIN(C6:L6)</f>
        <v>1.2000000000000002</v>
      </c>
    </row>
    <row r="7" spans="1:15" x14ac:dyDescent="0.2">
      <c r="B7" s="18">
        <v>3</v>
      </c>
      <c r="C7" s="9">
        <v>4</v>
      </c>
      <c r="D7" s="9">
        <v>4.5</v>
      </c>
      <c r="E7" s="9">
        <v>4.5999999999999996</v>
      </c>
      <c r="F7" s="9">
        <v>4.4000000000000004</v>
      </c>
      <c r="G7" s="9">
        <v>4.5999999999999996</v>
      </c>
      <c r="H7" s="9">
        <v>4</v>
      </c>
      <c r="I7" s="9">
        <v>4.0999999999999996</v>
      </c>
      <c r="J7" s="9">
        <v>4.0999999999999996</v>
      </c>
      <c r="K7" s="9">
        <v>4.3</v>
      </c>
      <c r="L7" s="9">
        <v>4.7</v>
      </c>
      <c r="M7" s="9">
        <f t="shared" si="0"/>
        <v>4.33</v>
      </c>
      <c r="N7" s="37">
        <f t="shared" si="1"/>
        <v>0.25317977802344327</v>
      </c>
      <c r="O7" s="21">
        <f t="shared" si="2"/>
        <v>0.70000000000000018</v>
      </c>
    </row>
    <row r="8" spans="1:15" x14ac:dyDescent="0.2">
      <c r="B8" s="18">
        <v>4</v>
      </c>
      <c r="C8" s="9">
        <v>4.7</v>
      </c>
      <c r="D8" s="9">
        <v>4.3</v>
      </c>
      <c r="E8" s="9">
        <v>4.4000000000000004</v>
      </c>
      <c r="F8" s="9">
        <v>5</v>
      </c>
      <c r="G8" s="9">
        <v>4.4000000000000004</v>
      </c>
      <c r="H8" s="9">
        <v>4</v>
      </c>
      <c r="I8" s="9">
        <v>4.5</v>
      </c>
      <c r="J8" s="9">
        <v>4.0999999999999996</v>
      </c>
      <c r="K8" s="9">
        <v>4.3</v>
      </c>
      <c r="L8" s="9">
        <v>4.4000000000000004</v>
      </c>
      <c r="M8" s="9">
        <f t="shared" si="0"/>
        <v>4.4099999999999993</v>
      </c>
      <c r="N8" s="37">
        <f t="shared" si="1"/>
        <v>0.27000000000000007</v>
      </c>
      <c r="O8" s="21">
        <f t="shared" si="2"/>
        <v>1</v>
      </c>
    </row>
    <row r="9" spans="1:15" x14ac:dyDescent="0.2">
      <c r="B9" s="18">
        <v>5</v>
      </c>
      <c r="C9" s="9">
        <v>4.0999999999999996</v>
      </c>
      <c r="D9" s="9">
        <v>4.4000000000000004</v>
      </c>
      <c r="E9" s="9">
        <v>4.5</v>
      </c>
      <c r="F9" s="9">
        <v>4.5999999999999996</v>
      </c>
      <c r="G9" s="9">
        <v>4.7</v>
      </c>
      <c r="H9" s="9">
        <v>4.3</v>
      </c>
      <c r="I9" s="9">
        <v>4.2</v>
      </c>
      <c r="J9" s="9">
        <v>4.2</v>
      </c>
      <c r="K9" s="9">
        <v>4.7</v>
      </c>
      <c r="L9" s="9">
        <v>4.5</v>
      </c>
      <c r="M9" s="9">
        <f t="shared" si="0"/>
        <v>4.42</v>
      </c>
      <c r="N9" s="37">
        <f t="shared" si="1"/>
        <v>0.20396078054371145</v>
      </c>
      <c r="O9" s="21">
        <f t="shared" si="2"/>
        <v>0.60000000000000053</v>
      </c>
    </row>
    <row r="10" spans="1:15" x14ac:dyDescent="0.2">
      <c r="B10" s="18">
        <v>6</v>
      </c>
      <c r="C10" s="9">
        <v>4</v>
      </c>
      <c r="D10" s="9">
        <v>4.3</v>
      </c>
      <c r="E10" s="9">
        <v>4</v>
      </c>
      <c r="F10" s="9">
        <v>4.0999999999999996</v>
      </c>
      <c r="G10" s="9">
        <v>4.2</v>
      </c>
      <c r="H10" s="9">
        <v>4.4000000000000004</v>
      </c>
      <c r="I10" s="9">
        <v>4.5</v>
      </c>
      <c r="J10" s="9">
        <v>4.4000000000000004</v>
      </c>
      <c r="K10" s="9">
        <v>4.2</v>
      </c>
      <c r="L10" s="9">
        <v>4.2</v>
      </c>
      <c r="M10" s="9">
        <f t="shared" si="0"/>
        <v>4.2300000000000004</v>
      </c>
      <c r="N10" s="37">
        <f t="shared" si="1"/>
        <v>0.16155494421403521</v>
      </c>
      <c r="O10" s="21">
        <f t="shared" si="2"/>
        <v>0.5</v>
      </c>
    </row>
    <row r="11" spans="1:15" x14ac:dyDescent="0.2">
      <c r="B11" s="18">
        <v>7</v>
      </c>
      <c r="C11" s="9">
        <v>4.5999999999999996</v>
      </c>
      <c r="D11" s="9">
        <v>4.5999999999999996</v>
      </c>
      <c r="E11" s="9">
        <v>4.5</v>
      </c>
      <c r="F11" s="9">
        <v>4.7</v>
      </c>
      <c r="G11" s="9">
        <v>4.2</v>
      </c>
      <c r="H11" s="9">
        <v>4.4000000000000004</v>
      </c>
      <c r="I11" s="9">
        <v>4</v>
      </c>
      <c r="J11" s="9">
        <v>4.5999999999999996</v>
      </c>
      <c r="K11" s="9">
        <v>4.5</v>
      </c>
      <c r="L11" s="9">
        <v>4.8</v>
      </c>
      <c r="M11" s="9">
        <f t="shared" si="0"/>
        <v>4.49</v>
      </c>
      <c r="N11" s="37">
        <f t="shared" si="1"/>
        <v>0.22561028345356945</v>
      </c>
      <c r="O11" s="21">
        <f t="shared" si="2"/>
        <v>0.79999999999999982</v>
      </c>
    </row>
    <row r="12" spans="1:15" x14ac:dyDescent="0.2">
      <c r="B12" s="18">
        <v>8</v>
      </c>
      <c r="C12" s="9">
        <v>4.5</v>
      </c>
      <c r="D12" s="9">
        <v>4</v>
      </c>
      <c r="E12" s="9">
        <v>4.7</v>
      </c>
      <c r="F12" s="9">
        <v>4.0999999999999996</v>
      </c>
      <c r="G12" s="9">
        <v>4.5</v>
      </c>
      <c r="H12" s="9">
        <v>3.9</v>
      </c>
      <c r="I12" s="9">
        <v>4.0999999999999996</v>
      </c>
      <c r="J12" s="9">
        <v>4.3</v>
      </c>
      <c r="K12" s="9">
        <v>4.2</v>
      </c>
      <c r="L12" s="9">
        <v>4.4000000000000004</v>
      </c>
      <c r="M12" s="9">
        <f t="shared" si="0"/>
        <v>4.2699999999999996</v>
      </c>
      <c r="N12" s="37">
        <f t="shared" si="1"/>
        <v>0.24103941586387909</v>
      </c>
      <c r="O12" s="21">
        <f t="shared" si="2"/>
        <v>0.80000000000000027</v>
      </c>
    </row>
    <row r="13" spans="1:15" x14ac:dyDescent="0.2">
      <c r="B13" s="18">
        <v>9</v>
      </c>
      <c r="C13" s="9">
        <v>4.8</v>
      </c>
      <c r="D13" s="9">
        <v>4.2</v>
      </c>
      <c r="E13" s="9">
        <v>4.0999999999999996</v>
      </c>
      <c r="F13" s="9">
        <v>4.4000000000000004</v>
      </c>
      <c r="G13" s="9">
        <v>4.5999999999999996</v>
      </c>
      <c r="H13" s="9">
        <v>4.5999999999999996</v>
      </c>
      <c r="I13" s="9">
        <v>4.5</v>
      </c>
      <c r="J13" s="9">
        <v>4.7</v>
      </c>
      <c r="K13" s="9">
        <v>4.3</v>
      </c>
      <c r="L13" s="9">
        <v>4</v>
      </c>
      <c r="M13" s="9">
        <f t="shared" si="0"/>
        <v>4.42</v>
      </c>
      <c r="N13" s="37">
        <f t="shared" si="1"/>
        <v>0.2521904042583698</v>
      </c>
      <c r="O13" s="21">
        <f t="shared" si="2"/>
        <v>0.79999999999999982</v>
      </c>
    </row>
    <row r="14" spans="1:15" x14ac:dyDescent="0.2">
      <c r="B14" s="18">
        <v>10</v>
      </c>
      <c r="C14" s="9">
        <v>3.9</v>
      </c>
      <c r="D14" s="9">
        <v>4.3</v>
      </c>
      <c r="E14" s="9">
        <v>3.8</v>
      </c>
      <c r="F14" s="9">
        <v>3.6</v>
      </c>
      <c r="G14" s="9">
        <v>3.5</v>
      </c>
      <c r="H14" s="9">
        <v>4</v>
      </c>
      <c r="I14" s="9">
        <v>3.9</v>
      </c>
      <c r="J14" s="9">
        <v>3.9</v>
      </c>
      <c r="K14" s="9">
        <v>4.4000000000000004</v>
      </c>
      <c r="L14" s="9">
        <v>4.2</v>
      </c>
      <c r="M14" s="9">
        <f t="shared" si="0"/>
        <v>3.95</v>
      </c>
      <c r="N14" s="37">
        <f t="shared" si="1"/>
        <v>0.2729468812791237</v>
      </c>
      <c r="O14" s="21">
        <f t="shared" si="2"/>
        <v>0.90000000000000036</v>
      </c>
    </row>
    <row r="15" spans="1:15" x14ac:dyDescent="0.2">
      <c r="B15" s="18">
        <v>11</v>
      </c>
      <c r="C15" s="9">
        <v>4.5</v>
      </c>
      <c r="D15" s="9">
        <v>4.5</v>
      </c>
      <c r="E15" s="9">
        <v>4.5999999999999996</v>
      </c>
      <c r="F15" s="9">
        <v>4.2</v>
      </c>
      <c r="G15" s="9">
        <v>4.4000000000000004</v>
      </c>
      <c r="H15" s="9">
        <v>4.7</v>
      </c>
      <c r="I15" s="9">
        <v>4.5999999999999996</v>
      </c>
      <c r="J15" s="9">
        <v>4.5</v>
      </c>
      <c r="K15" s="9">
        <v>4.3</v>
      </c>
      <c r="L15" s="9">
        <v>4</v>
      </c>
      <c r="M15" s="9">
        <f t="shared" si="0"/>
        <v>4.43</v>
      </c>
      <c r="N15" s="37">
        <f t="shared" si="1"/>
        <v>0.2002498439450078</v>
      </c>
      <c r="O15" s="21">
        <f t="shared" si="2"/>
        <v>0.70000000000000018</v>
      </c>
    </row>
    <row r="16" spans="1:15" x14ac:dyDescent="0.2">
      <c r="B16" s="18">
        <v>12</v>
      </c>
      <c r="C16" s="9">
        <v>4.0999999999999996</v>
      </c>
      <c r="D16" s="9">
        <v>3.9</v>
      </c>
      <c r="E16" s="9">
        <v>4.8</v>
      </c>
      <c r="F16" s="9">
        <v>4.3</v>
      </c>
      <c r="G16" s="9">
        <v>4.2</v>
      </c>
      <c r="H16" s="9">
        <v>4.8</v>
      </c>
      <c r="I16" s="9">
        <v>4.2</v>
      </c>
      <c r="J16" s="9">
        <v>4.3</v>
      </c>
      <c r="K16" s="9">
        <v>4.3</v>
      </c>
      <c r="L16" s="9">
        <v>4.5999999999999996</v>
      </c>
      <c r="M16" s="9">
        <f t="shared" si="0"/>
        <v>4.3499999999999996</v>
      </c>
      <c r="N16" s="37">
        <f t="shared" si="1"/>
        <v>0.28017851452243797</v>
      </c>
      <c r="O16" s="21">
        <f t="shared" si="2"/>
        <v>0.89999999999999991</v>
      </c>
    </row>
    <row r="17" spans="2:15" x14ac:dyDescent="0.2">
      <c r="B17" s="18">
        <v>13</v>
      </c>
      <c r="C17" s="9">
        <v>4.8</v>
      </c>
      <c r="D17" s="9">
        <v>4.4000000000000004</v>
      </c>
      <c r="E17" s="9">
        <v>4.5</v>
      </c>
      <c r="F17" s="9">
        <v>4.9000000000000004</v>
      </c>
      <c r="G17" s="9">
        <v>4.4000000000000004</v>
      </c>
      <c r="H17" s="9">
        <v>4.8</v>
      </c>
      <c r="I17" s="9">
        <v>4.3</v>
      </c>
      <c r="J17" s="9">
        <v>4.5999999999999996</v>
      </c>
      <c r="K17" s="9">
        <v>4</v>
      </c>
      <c r="L17" s="9">
        <v>4.2</v>
      </c>
      <c r="M17" s="9">
        <f t="shared" si="0"/>
        <v>4.49</v>
      </c>
      <c r="N17" s="37">
        <f t="shared" si="1"/>
        <v>0.27367864366808015</v>
      </c>
      <c r="O17" s="21">
        <f t="shared" si="2"/>
        <v>0.90000000000000036</v>
      </c>
    </row>
    <row r="18" spans="2:15" x14ac:dyDescent="0.2">
      <c r="B18" s="18">
        <v>14</v>
      </c>
      <c r="C18" s="9">
        <v>4.4000000000000004</v>
      </c>
      <c r="D18" s="9">
        <v>4.5</v>
      </c>
      <c r="E18" s="9">
        <v>4.2</v>
      </c>
      <c r="F18" s="9">
        <v>4.2</v>
      </c>
      <c r="G18" s="9">
        <v>4</v>
      </c>
      <c r="H18" s="9">
        <v>3.9</v>
      </c>
      <c r="I18" s="9">
        <v>4.0999999999999996</v>
      </c>
      <c r="J18" s="9">
        <v>4.4000000000000004</v>
      </c>
      <c r="K18" s="9">
        <v>4.5999999999999996</v>
      </c>
      <c r="L18" s="9">
        <v>4.2</v>
      </c>
      <c r="M18" s="9">
        <f t="shared" si="0"/>
        <v>4.25</v>
      </c>
      <c r="N18" s="37">
        <f t="shared" si="1"/>
        <v>0.21095023109728989</v>
      </c>
      <c r="O18" s="21">
        <f t="shared" si="2"/>
        <v>0.69999999999999973</v>
      </c>
    </row>
    <row r="19" spans="2:15" x14ac:dyDescent="0.2">
      <c r="B19" s="18">
        <v>15</v>
      </c>
      <c r="C19" s="9">
        <v>4.2</v>
      </c>
      <c r="D19" s="9">
        <v>4</v>
      </c>
      <c r="E19" s="9">
        <v>4.3</v>
      </c>
      <c r="F19" s="9">
        <v>4.5</v>
      </c>
      <c r="G19" s="9">
        <v>3.9</v>
      </c>
      <c r="H19" s="9">
        <v>4.2</v>
      </c>
      <c r="I19" s="9">
        <v>4.0999999999999996</v>
      </c>
      <c r="J19" s="9">
        <v>4.3</v>
      </c>
      <c r="K19" s="9">
        <v>4.3</v>
      </c>
      <c r="L19" s="9">
        <v>4.5</v>
      </c>
      <c r="M19" s="9">
        <f t="shared" si="0"/>
        <v>4.2299999999999986</v>
      </c>
      <c r="N19" s="37">
        <f t="shared" si="1"/>
        <v>0.1846618531261939</v>
      </c>
      <c r="O19" s="21">
        <f t="shared" si="2"/>
        <v>0.60000000000000009</v>
      </c>
    </row>
    <row r="20" spans="2:15" x14ac:dyDescent="0.2">
      <c r="B20" s="18">
        <v>16</v>
      </c>
      <c r="C20" s="9">
        <v>4.7</v>
      </c>
      <c r="D20" s="9">
        <v>4.8</v>
      </c>
      <c r="E20" s="9">
        <v>4.0999999999999996</v>
      </c>
      <c r="F20" s="9">
        <v>4.5999999999999996</v>
      </c>
      <c r="G20" s="9">
        <v>4.2</v>
      </c>
      <c r="H20" s="9">
        <v>3.9</v>
      </c>
      <c r="I20" s="9">
        <v>4.4000000000000004</v>
      </c>
      <c r="J20" s="9">
        <v>4.3</v>
      </c>
      <c r="K20" s="9">
        <v>4.5</v>
      </c>
      <c r="L20" s="9">
        <v>4.7</v>
      </c>
      <c r="M20" s="9">
        <f t="shared" si="0"/>
        <v>4.42</v>
      </c>
      <c r="N20" s="37">
        <f t="shared" si="1"/>
        <v>0.27856776554368246</v>
      </c>
      <c r="O20" s="21">
        <f t="shared" si="2"/>
        <v>0.89999999999999991</v>
      </c>
    </row>
    <row r="21" spans="2:15" x14ac:dyDescent="0.2">
      <c r="B21" s="18">
        <v>17</v>
      </c>
      <c r="C21" s="9">
        <v>4.5999999999999996</v>
      </c>
      <c r="D21" s="9">
        <v>4</v>
      </c>
      <c r="E21" s="9">
        <v>4</v>
      </c>
      <c r="F21" s="9">
        <v>4.3</v>
      </c>
      <c r="G21" s="9">
        <v>4</v>
      </c>
      <c r="H21" s="9">
        <v>4.4000000000000004</v>
      </c>
      <c r="I21" s="9">
        <v>4.2</v>
      </c>
      <c r="J21" s="9">
        <v>4</v>
      </c>
      <c r="K21" s="9">
        <v>4.5</v>
      </c>
      <c r="L21" s="9">
        <v>4.7</v>
      </c>
      <c r="M21" s="9">
        <f t="shared" si="0"/>
        <v>4.2700000000000005</v>
      </c>
      <c r="N21" s="37">
        <f t="shared" si="1"/>
        <v>0.25709920264364883</v>
      </c>
      <c r="O21" s="21">
        <f t="shared" si="2"/>
        <v>0.70000000000000018</v>
      </c>
    </row>
    <row r="22" spans="2:15" x14ac:dyDescent="0.2">
      <c r="B22" s="18">
        <v>18</v>
      </c>
      <c r="C22" s="9">
        <v>4.5</v>
      </c>
      <c r="D22" s="9">
        <v>4.3</v>
      </c>
      <c r="E22" s="9">
        <v>4.3</v>
      </c>
      <c r="F22" s="9">
        <v>4.8</v>
      </c>
      <c r="G22" s="9">
        <v>4.5999999999999996</v>
      </c>
      <c r="H22" s="9">
        <v>4.0999999999999996</v>
      </c>
      <c r="I22" s="9">
        <v>4.2</v>
      </c>
      <c r="J22" s="9">
        <v>4.3</v>
      </c>
      <c r="K22" s="9">
        <v>3.9</v>
      </c>
      <c r="L22" s="9">
        <v>4</v>
      </c>
      <c r="M22" s="9">
        <f t="shared" si="0"/>
        <v>4.3</v>
      </c>
      <c r="N22" s="37">
        <f t="shared" si="1"/>
        <v>0.26076809620810593</v>
      </c>
      <c r="O22" s="21">
        <f t="shared" si="2"/>
        <v>0.89999999999999991</v>
      </c>
    </row>
    <row r="23" spans="2:15" x14ac:dyDescent="0.2">
      <c r="B23" s="16"/>
      <c r="M23" s="51">
        <f>AVERAGE(M5:M22)</f>
        <v>4.3477777777777771</v>
      </c>
      <c r="N23" s="51">
        <f t="shared" ref="N23:O23" si="3">AVERAGE(N5:N22)</f>
        <v>0.24167374276207346</v>
      </c>
      <c r="O23" s="51">
        <f t="shared" si="3"/>
        <v>0.78888888888888897</v>
      </c>
    </row>
    <row r="24" spans="2:15" x14ac:dyDescent="0.2">
      <c r="B24" s="19" t="s">
        <v>23</v>
      </c>
      <c r="C24" s="15"/>
      <c r="D24" s="15"/>
      <c r="O24" s="17"/>
    </row>
    <row r="25" spans="2:15" x14ac:dyDescent="0.2">
      <c r="B25" s="16"/>
      <c r="C25" s="66" t="s">
        <v>18</v>
      </c>
      <c r="D25" s="67"/>
      <c r="E25" s="67"/>
      <c r="F25" s="68"/>
      <c r="H25" s="15" t="s">
        <v>24</v>
      </c>
      <c r="O25" s="17"/>
    </row>
    <row r="26" spans="2:15" x14ac:dyDescent="0.2">
      <c r="B26" s="16"/>
      <c r="C26" s="10">
        <f>AVERAGE(M5:M22)</f>
        <v>4.3477777777777771</v>
      </c>
      <c r="D26" s="10"/>
      <c r="E26" s="10" t="s">
        <v>19</v>
      </c>
      <c r="F26" s="10"/>
      <c r="H26" s="2" t="s">
        <v>20</v>
      </c>
      <c r="I26" s="2">
        <v>0.92300000000000004</v>
      </c>
      <c r="O26" s="17"/>
    </row>
    <row r="27" spans="2:15" x14ac:dyDescent="0.2">
      <c r="B27" s="16"/>
      <c r="C27" s="10">
        <f>AVERAGE(N5:N22)</f>
        <v>0.24167374276207346</v>
      </c>
      <c r="D27" s="10"/>
      <c r="E27" s="10" t="s">
        <v>10</v>
      </c>
      <c r="F27" s="10"/>
      <c r="H27" s="2" t="s">
        <v>21</v>
      </c>
      <c r="I27" s="2">
        <v>3.0779999999999998</v>
      </c>
      <c r="O27" s="17"/>
    </row>
    <row r="28" spans="2:15" x14ac:dyDescent="0.2">
      <c r="B28" s="16"/>
      <c r="C28" s="10">
        <f>AVERAGE(O5:O22)</f>
        <v>0.78888888888888897</v>
      </c>
      <c r="D28" s="11"/>
      <c r="E28" s="10" t="s">
        <v>11</v>
      </c>
      <c r="F28" s="10"/>
      <c r="O28" s="17"/>
    </row>
    <row r="29" spans="2:15" x14ac:dyDescent="0.2">
      <c r="B29" s="16"/>
      <c r="O29" s="17"/>
    </row>
    <row r="30" spans="2:15" x14ac:dyDescent="0.2">
      <c r="B30" s="16"/>
      <c r="C30" s="2"/>
      <c r="D30" s="12" t="s">
        <v>12</v>
      </c>
      <c r="E30" s="12" t="s">
        <v>13</v>
      </c>
      <c r="F30" s="3"/>
      <c r="G30" s="3"/>
      <c r="O30" s="17"/>
    </row>
    <row r="31" spans="2:15" x14ac:dyDescent="0.2">
      <c r="B31" s="16"/>
      <c r="C31" s="12" t="s">
        <v>14</v>
      </c>
      <c r="D31" s="10">
        <f>C27/I26</f>
        <v>0.26183504091232224</v>
      </c>
      <c r="E31" s="10">
        <f>C28/I27</f>
        <v>0.25629918417442787</v>
      </c>
      <c r="F31" s="3"/>
      <c r="G31" s="3"/>
      <c r="O31" s="17"/>
    </row>
    <row r="32" spans="2:15" x14ac:dyDescent="0.2">
      <c r="B32" s="16"/>
      <c r="C32" s="3" t="s">
        <v>15</v>
      </c>
      <c r="D32" s="13">
        <f>ABS(E31-D31)/MIN(D31:E31)</f>
        <v>2.1599197655373183E-2</v>
      </c>
      <c r="E32" s="14" t="s">
        <v>22</v>
      </c>
      <c r="F32" s="3"/>
      <c r="G32" s="3"/>
      <c r="O32" s="17"/>
    </row>
    <row r="33" spans="2:19" x14ac:dyDescent="0.2">
      <c r="B33" s="16"/>
      <c r="O33" s="17"/>
    </row>
    <row r="34" spans="2:19" ht="16" thickBot="1" x14ac:dyDescent="0.25"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4"/>
    </row>
    <row r="35" spans="2:19" x14ac:dyDescent="0.2">
      <c r="B35" s="25" t="s">
        <v>42</v>
      </c>
    </row>
    <row r="38" spans="2:19" x14ac:dyDescent="0.2">
      <c r="B38" s="65" t="s">
        <v>27</v>
      </c>
      <c r="C38" s="65"/>
      <c r="D38" s="3"/>
      <c r="E38" s="3"/>
      <c r="F38" s="3"/>
      <c r="G38" s="3"/>
      <c r="H38" s="69" t="s">
        <v>28</v>
      </c>
      <c r="I38" s="69"/>
      <c r="R38" s="69" t="s">
        <v>49</v>
      </c>
      <c r="S38" s="69"/>
    </row>
    <row r="39" spans="2:19" x14ac:dyDescent="0.2">
      <c r="B39" s="26" t="s">
        <v>29</v>
      </c>
      <c r="C39" s="27">
        <f>C26+3*((C27)/(I26*SQRT(10)))</f>
        <v>4.5961763079356697</v>
      </c>
      <c r="D39" s="3"/>
      <c r="E39" s="3"/>
      <c r="F39" s="3"/>
      <c r="G39" s="3"/>
      <c r="H39" s="28" t="s">
        <v>30</v>
      </c>
      <c r="I39" s="29">
        <v>1.67</v>
      </c>
      <c r="R39" s="28" t="s">
        <v>51</v>
      </c>
      <c r="S39" s="29">
        <v>5.97</v>
      </c>
    </row>
    <row r="40" spans="2:19" x14ac:dyDescent="0.2">
      <c r="B40" s="26" t="s">
        <v>31</v>
      </c>
      <c r="C40" s="27">
        <f>C26-3*((C27)/(I26*SQRT(10)))</f>
        <v>4.0993792476198845</v>
      </c>
      <c r="D40" s="3"/>
      <c r="E40" s="3"/>
      <c r="F40" s="3"/>
      <c r="G40" s="3"/>
      <c r="H40" s="28" t="s">
        <v>32</v>
      </c>
      <c r="I40" s="29">
        <v>0.33900000000000002</v>
      </c>
      <c r="R40" s="28" t="s">
        <v>52</v>
      </c>
      <c r="S40" s="29">
        <v>1.08</v>
      </c>
    </row>
    <row r="41" spans="2:19" x14ac:dyDescent="0.2">
      <c r="B41" s="26" t="s">
        <v>33</v>
      </c>
      <c r="C41" s="27">
        <f>C26+2*((C27)/(I26*SQRT(10)))</f>
        <v>4.5133767978830388</v>
      </c>
      <c r="D41" s="3"/>
      <c r="E41" s="3"/>
      <c r="F41" s="3"/>
      <c r="G41" s="3"/>
      <c r="H41" s="28" t="s">
        <v>34</v>
      </c>
      <c r="I41" s="29">
        <v>1.379</v>
      </c>
      <c r="R41" s="28" t="s">
        <v>53</v>
      </c>
      <c r="S41" s="29">
        <v>4.79</v>
      </c>
    </row>
    <row r="42" spans="2:19" x14ac:dyDescent="0.2">
      <c r="B42" s="26" t="s">
        <v>35</v>
      </c>
      <c r="C42" s="27">
        <f>C26-2*((C27)/(I26*SQRT(10)))</f>
        <v>4.1821787576725153</v>
      </c>
      <c r="D42" s="3"/>
      <c r="E42" s="3"/>
      <c r="F42" s="3"/>
      <c r="G42" s="3"/>
      <c r="H42" s="28" t="s">
        <v>36</v>
      </c>
      <c r="I42" s="29">
        <v>0.52</v>
      </c>
      <c r="R42" s="28" t="s">
        <v>54</v>
      </c>
      <c r="S42" s="29">
        <v>1.67</v>
      </c>
    </row>
    <row r="43" spans="2:19" x14ac:dyDescent="0.2">
      <c r="B43" s="3"/>
      <c r="C43" s="3"/>
      <c r="D43" s="3"/>
      <c r="E43" s="3"/>
      <c r="F43" s="3"/>
      <c r="G43" s="3"/>
      <c r="H43" s="28" t="s">
        <v>37</v>
      </c>
      <c r="I43" s="29">
        <v>1.8089999999999999</v>
      </c>
      <c r="R43" s="28" t="s">
        <v>55</v>
      </c>
      <c r="S43" s="29">
        <v>1.94</v>
      </c>
    </row>
    <row r="44" spans="2:19" x14ac:dyDescent="0.2">
      <c r="B44" s="3"/>
      <c r="C44" s="3"/>
      <c r="D44" s="3"/>
      <c r="E44" s="3"/>
      <c r="F44" s="3"/>
      <c r="G44" s="3"/>
      <c r="H44" s="28" t="s">
        <v>38</v>
      </c>
      <c r="I44" s="29">
        <v>0.36699999999999999</v>
      </c>
      <c r="R44" s="28" t="s">
        <v>56</v>
      </c>
      <c r="S44" s="29">
        <v>0.35</v>
      </c>
    </row>
    <row r="45" spans="2:19" x14ac:dyDescent="0.2">
      <c r="B45" s="3"/>
      <c r="C45" s="3"/>
      <c r="D45" s="3"/>
      <c r="E45" s="3"/>
      <c r="F45" s="3"/>
      <c r="G45" s="3"/>
      <c r="H45" s="28" t="s">
        <v>39</v>
      </c>
      <c r="I45" s="29">
        <v>1.494</v>
      </c>
      <c r="R45" s="28" t="s">
        <v>57</v>
      </c>
      <c r="S45" s="29">
        <v>1.56</v>
      </c>
    </row>
    <row r="46" spans="2:19" x14ac:dyDescent="0.2">
      <c r="B46" s="3"/>
      <c r="C46" s="3"/>
      <c r="D46" s="3"/>
      <c r="E46" s="3"/>
      <c r="F46" s="3"/>
      <c r="G46" s="3"/>
      <c r="H46" s="28" t="s">
        <v>40</v>
      </c>
      <c r="I46" s="29">
        <v>0.56299999999999994</v>
      </c>
      <c r="R46" s="28" t="s">
        <v>58</v>
      </c>
      <c r="S46" s="29">
        <v>0.54</v>
      </c>
    </row>
    <row r="47" spans="2:19" x14ac:dyDescent="0.2">
      <c r="B47" s="3"/>
      <c r="C47" s="3"/>
      <c r="D47" s="3"/>
      <c r="E47" s="3"/>
      <c r="F47" s="3"/>
      <c r="G47" s="3"/>
      <c r="H47" s="30" t="s">
        <v>29</v>
      </c>
      <c r="I47" s="31">
        <f>I43*C$58</f>
        <v>7.9957799999999999</v>
      </c>
      <c r="R47" s="30" t="s">
        <v>29</v>
      </c>
      <c r="S47" s="31">
        <f>S43*O23</f>
        <v>1.5304444444444445</v>
      </c>
    </row>
    <row r="48" spans="2:19" x14ac:dyDescent="0.2">
      <c r="B48" s="3"/>
      <c r="C48" s="3"/>
      <c r="D48" s="3"/>
      <c r="E48" s="3"/>
      <c r="F48" s="3"/>
      <c r="G48" s="3"/>
      <c r="H48" s="30" t="s">
        <v>31</v>
      </c>
      <c r="I48" s="31">
        <f t="shared" ref="I48:I50" si="4">I44*C$58</f>
        <v>1.6221399999999999</v>
      </c>
      <c r="R48" s="30" t="s">
        <v>31</v>
      </c>
      <c r="S48" s="31">
        <f>S44*O23</f>
        <v>0.27611111111111114</v>
      </c>
    </row>
    <row r="49" spans="2:24" x14ac:dyDescent="0.2">
      <c r="B49" s="3"/>
      <c r="C49" s="3"/>
      <c r="D49" s="3"/>
      <c r="E49" s="3"/>
      <c r="F49" s="3"/>
      <c r="G49" s="3"/>
      <c r="H49" s="30" t="s">
        <v>33</v>
      </c>
      <c r="I49" s="31">
        <f t="shared" si="4"/>
        <v>6.6034800000000002</v>
      </c>
      <c r="R49" s="30" t="s">
        <v>33</v>
      </c>
      <c r="S49" s="31">
        <f>S45*O23</f>
        <v>1.2306666666666668</v>
      </c>
    </row>
    <row r="50" spans="2:24" x14ac:dyDescent="0.2">
      <c r="B50" s="3"/>
      <c r="C50" s="3"/>
      <c r="D50" s="3"/>
      <c r="E50" s="3"/>
      <c r="F50" s="3"/>
      <c r="G50" s="3"/>
      <c r="H50" s="30" t="s">
        <v>35</v>
      </c>
      <c r="I50" s="31">
        <f t="shared" si="4"/>
        <v>2.4884599999999999</v>
      </c>
      <c r="R50" s="30" t="s">
        <v>35</v>
      </c>
      <c r="S50" s="31">
        <f>S46*O23</f>
        <v>0.4260000000000001</v>
      </c>
    </row>
    <row r="52" spans="2:24" ht="19" x14ac:dyDescent="0.25">
      <c r="B52" s="63" t="s">
        <v>27</v>
      </c>
      <c r="C52" s="63"/>
      <c r="D52" s="63"/>
      <c r="E52" s="63"/>
      <c r="F52" s="63"/>
      <c r="G52" s="63"/>
      <c r="H52" s="63"/>
      <c r="J52" s="63" t="s">
        <v>46</v>
      </c>
      <c r="K52" s="63"/>
      <c r="L52" s="63"/>
      <c r="M52" s="63"/>
      <c r="N52" s="63"/>
      <c r="O52" s="63"/>
      <c r="P52" s="63"/>
      <c r="R52" s="63" t="s">
        <v>49</v>
      </c>
      <c r="S52" s="63"/>
      <c r="T52" s="63"/>
      <c r="U52" s="63"/>
      <c r="V52" s="63"/>
      <c r="W52" s="63"/>
      <c r="X52" s="63"/>
    </row>
    <row r="53" spans="2:24" x14ac:dyDescent="0.2">
      <c r="B53" s="33" t="s">
        <v>1</v>
      </c>
      <c r="C53" s="33" t="s">
        <v>7</v>
      </c>
      <c r="D53" s="33" t="s">
        <v>43</v>
      </c>
      <c r="E53" s="33" t="s">
        <v>29</v>
      </c>
      <c r="F53" s="33" t="s">
        <v>44</v>
      </c>
      <c r="G53" s="33" t="s">
        <v>33</v>
      </c>
      <c r="H53" s="33" t="s">
        <v>45</v>
      </c>
      <c r="I53" s="3"/>
      <c r="J53" s="33" t="s">
        <v>1</v>
      </c>
      <c r="K53" s="33" t="s">
        <v>47</v>
      </c>
      <c r="L53" s="33" t="s">
        <v>48</v>
      </c>
      <c r="M53" s="33" t="s">
        <v>29</v>
      </c>
      <c r="N53" s="33" t="s">
        <v>44</v>
      </c>
      <c r="O53" s="33" t="s">
        <v>33</v>
      </c>
      <c r="P53" s="33" t="s">
        <v>45</v>
      </c>
      <c r="R53" s="33" t="s">
        <v>1</v>
      </c>
      <c r="S53" s="33" t="s">
        <v>13</v>
      </c>
      <c r="T53" s="33" t="s">
        <v>50</v>
      </c>
      <c r="U53" s="33" t="s">
        <v>29</v>
      </c>
      <c r="V53" s="33" t="s">
        <v>44</v>
      </c>
      <c r="W53" s="33" t="s">
        <v>33</v>
      </c>
      <c r="X53" s="33" t="s">
        <v>45</v>
      </c>
    </row>
    <row r="54" spans="2:24" x14ac:dyDescent="0.2">
      <c r="B54" s="33">
        <v>1</v>
      </c>
      <c r="C54" s="33">
        <v>4.51</v>
      </c>
      <c r="D54" s="35">
        <v>4.3477777777777771</v>
      </c>
      <c r="E54" s="35">
        <v>4.5961763079356697</v>
      </c>
      <c r="F54" s="35">
        <v>4.0993792476198845</v>
      </c>
      <c r="G54" s="35">
        <v>4.5133767978830388</v>
      </c>
      <c r="H54" s="35">
        <v>4.1821787576725153</v>
      </c>
      <c r="I54" s="3"/>
      <c r="J54" s="33">
        <v>1</v>
      </c>
      <c r="K54" s="37">
        <v>0.17578395831246935</v>
      </c>
      <c r="L54" s="35">
        <v>0.24167374276207346</v>
      </c>
      <c r="M54" s="35">
        <v>0.43718780065659085</v>
      </c>
      <c r="N54" s="35">
        <v>8.8694263593680961E-2</v>
      </c>
      <c r="O54" s="35">
        <v>0.36106057168653777</v>
      </c>
      <c r="P54" s="35">
        <v>0.13606231717504735</v>
      </c>
      <c r="R54" s="33">
        <v>1</v>
      </c>
      <c r="S54" s="37">
        <v>0.59999999999999964</v>
      </c>
      <c r="T54" s="35">
        <v>0.78888888888888897</v>
      </c>
      <c r="U54" s="35">
        <v>1.5304444444444445</v>
      </c>
      <c r="V54" s="35">
        <v>0.27611111111111114</v>
      </c>
      <c r="W54" s="35">
        <v>1.2306666666666668</v>
      </c>
      <c r="X54" s="35">
        <v>0.4260000000000001</v>
      </c>
    </row>
    <row r="55" spans="2:24" x14ac:dyDescent="0.2">
      <c r="B55" s="33">
        <v>2</v>
      </c>
      <c r="C55" s="33">
        <v>4.49</v>
      </c>
      <c r="D55" s="35">
        <v>4.3477777777777771</v>
      </c>
      <c r="E55" s="35">
        <v>4.5961763079356697</v>
      </c>
      <c r="F55" s="35">
        <v>4.0993792476198845</v>
      </c>
      <c r="G55" s="35">
        <v>4.5133767978830388</v>
      </c>
      <c r="H55" s="35">
        <v>4.1821787576725153</v>
      </c>
      <c r="J55" s="33">
        <v>2</v>
      </c>
      <c r="K55" s="37">
        <v>0.34770677301427416</v>
      </c>
      <c r="L55" s="35">
        <v>0.24167374276207346</v>
      </c>
      <c r="M55" s="35">
        <v>0.43718780065659085</v>
      </c>
      <c r="N55" s="35">
        <v>8.8694263593680961E-2</v>
      </c>
      <c r="O55" s="35">
        <v>0.36106057168653777</v>
      </c>
      <c r="P55" s="35">
        <v>0.13606231717504735</v>
      </c>
      <c r="R55" s="33">
        <v>2</v>
      </c>
      <c r="S55" s="37">
        <v>1.2000000000000002</v>
      </c>
      <c r="T55" s="35">
        <v>0.78888888888888897</v>
      </c>
      <c r="U55" s="35">
        <v>1.5304444444444445</v>
      </c>
      <c r="V55" s="35">
        <v>0.27611111111111114</v>
      </c>
      <c r="W55" s="35">
        <v>1.2306666666666668</v>
      </c>
      <c r="X55" s="35">
        <v>0.4260000000000001</v>
      </c>
    </row>
    <row r="56" spans="2:24" x14ac:dyDescent="0.2">
      <c r="B56" s="33">
        <v>3</v>
      </c>
      <c r="C56" s="33">
        <v>4.33</v>
      </c>
      <c r="D56" s="35">
        <v>4.3477777777777771</v>
      </c>
      <c r="E56" s="35">
        <v>4.5961763079356697</v>
      </c>
      <c r="F56" s="35">
        <v>4.0993792476198845</v>
      </c>
      <c r="G56" s="35">
        <v>4.5133767978830388</v>
      </c>
      <c r="H56" s="35">
        <v>4.1821787576725153</v>
      </c>
      <c r="J56" s="33">
        <v>3</v>
      </c>
      <c r="K56" s="37">
        <v>0.25317977802344327</v>
      </c>
      <c r="L56" s="35">
        <v>0.24167374276207346</v>
      </c>
      <c r="M56" s="35">
        <v>0.43718780065659085</v>
      </c>
      <c r="N56" s="35">
        <v>8.8694263593680961E-2</v>
      </c>
      <c r="O56" s="35">
        <v>0.36106057168653777</v>
      </c>
      <c r="P56" s="35">
        <v>0.13606231717504735</v>
      </c>
      <c r="R56" s="33">
        <v>3</v>
      </c>
      <c r="S56" s="37">
        <v>0.70000000000000018</v>
      </c>
      <c r="T56" s="35">
        <v>0.78888888888888897</v>
      </c>
      <c r="U56" s="35">
        <v>1.5304444444444445</v>
      </c>
      <c r="V56" s="35">
        <v>0.27611111111111114</v>
      </c>
      <c r="W56" s="35">
        <v>1.2306666666666668</v>
      </c>
      <c r="X56" s="35">
        <v>0.4260000000000001</v>
      </c>
    </row>
    <row r="57" spans="2:24" x14ac:dyDescent="0.2">
      <c r="B57" s="33">
        <v>4</v>
      </c>
      <c r="C57" s="33">
        <v>4.4099999999999993</v>
      </c>
      <c r="D57" s="35">
        <v>4.3477777777777771</v>
      </c>
      <c r="E57" s="35">
        <v>4.5961763079356697</v>
      </c>
      <c r="F57" s="35">
        <v>4.0993792476198845</v>
      </c>
      <c r="G57" s="35">
        <v>4.5133767978830388</v>
      </c>
      <c r="H57" s="35">
        <v>4.1821787576725153</v>
      </c>
      <c r="J57" s="33">
        <v>4</v>
      </c>
      <c r="K57" s="37">
        <v>0.27000000000000007</v>
      </c>
      <c r="L57" s="35">
        <v>0.24167374276207346</v>
      </c>
      <c r="M57" s="35">
        <v>0.43718780065659085</v>
      </c>
      <c r="N57" s="35">
        <v>8.8694263593680961E-2</v>
      </c>
      <c r="O57" s="35">
        <v>0.36106057168653777</v>
      </c>
      <c r="P57" s="35">
        <v>0.13606231717504735</v>
      </c>
      <c r="R57" s="33">
        <v>4</v>
      </c>
      <c r="S57" s="37">
        <v>1</v>
      </c>
      <c r="T57" s="35">
        <v>0.78888888888888897</v>
      </c>
      <c r="U57" s="35">
        <v>1.5304444444444445</v>
      </c>
      <c r="V57" s="35">
        <v>0.27611111111111114</v>
      </c>
      <c r="W57" s="35">
        <v>1.2306666666666668</v>
      </c>
      <c r="X57" s="35">
        <v>0.4260000000000001</v>
      </c>
    </row>
    <row r="58" spans="2:24" x14ac:dyDescent="0.2">
      <c r="B58" s="33">
        <v>5</v>
      </c>
      <c r="C58" s="33">
        <v>4.42</v>
      </c>
      <c r="D58" s="35">
        <v>4.3477777777777771</v>
      </c>
      <c r="E58" s="35">
        <v>4.5961763079356697</v>
      </c>
      <c r="F58" s="35">
        <v>4.0993792476198845</v>
      </c>
      <c r="G58" s="35">
        <v>4.5133767978830388</v>
      </c>
      <c r="H58" s="35">
        <v>4.1821787576725153</v>
      </c>
      <c r="J58" s="33">
        <v>5</v>
      </c>
      <c r="K58" s="37">
        <v>0.20396078054371145</v>
      </c>
      <c r="L58" s="35">
        <v>0.24167374276207346</v>
      </c>
      <c r="M58" s="35">
        <v>0.43718780065659085</v>
      </c>
      <c r="N58" s="35">
        <v>8.8694263593680961E-2</v>
      </c>
      <c r="O58" s="35">
        <v>0.36106057168653777</v>
      </c>
      <c r="P58" s="35">
        <v>0.13606231717504735</v>
      </c>
      <c r="R58" s="33">
        <v>5</v>
      </c>
      <c r="S58" s="37">
        <v>0.60000000000000053</v>
      </c>
      <c r="T58" s="35">
        <v>0.78888888888888897</v>
      </c>
      <c r="U58" s="35">
        <v>1.5304444444444445</v>
      </c>
      <c r="V58" s="35">
        <v>0.27611111111111114</v>
      </c>
      <c r="W58" s="35">
        <v>1.2306666666666668</v>
      </c>
      <c r="X58" s="35">
        <v>0.4260000000000001</v>
      </c>
    </row>
    <row r="59" spans="2:24" x14ac:dyDescent="0.2">
      <c r="B59" s="33">
        <v>6</v>
      </c>
      <c r="C59" s="33">
        <v>4.2300000000000004</v>
      </c>
      <c r="D59" s="35">
        <v>4.3477777777777771</v>
      </c>
      <c r="E59" s="35">
        <v>4.5961763079356697</v>
      </c>
      <c r="F59" s="35">
        <v>4.0993792476198845</v>
      </c>
      <c r="G59" s="35">
        <v>4.5133767978830388</v>
      </c>
      <c r="H59" s="35">
        <v>4.1821787576725153</v>
      </c>
      <c r="J59" s="33">
        <v>6</v>
      </c>
      <c r="K59" s="37">
        <v>0.16155494421403521</v>
      </c>
      <c r="L59" s="35">
        <v>0.24167374276207346</v>
      </c>
      <c r="M59" s="35">
        <v>0.43718780065659085</v>
      </c>
      <c r="N59" s="35">
        <v>8.8694263593680961E-2</v>
      </c>
      <c r="O59" s="35">
        <v>0.36106057168653777</v>
      </c>
      <c r="P59" s="35">
        <v>0.13606231717504735</v>
      </c>
      <c r="R59" s="33">
        <v>6</v>
      </c>
      <c r="S59" s="37">
        <v>0.5</v>
      </c>
      <c r="T59" s="35">
        <v>0.78888888888888897</v>
      </c>
      <c r="U59" s="35">
        <v>1.5304444444444445</v>
      </c>
      <c r="V59" s="35">
        <v>0.27611111111111114</v>
      </c>
      <c r="W59" s="35">
        <v>1.2306666666666668</v>
      </c>
      <c r="X59" s="35">
        <v>0.4260000000000001</v>
      </c>
    </row>
    <row r="60" spans="2:24" x14ac:dyDescent="0.2">
      <c r="B60" s="33">
        <v>7</v>
      </c>
      <c r="C60" s="33">
        <v>4.49</v>
      </c>
      <c r="D60" s="35">
        <v>4.3477777777777771</v>
      </c>
      <c r="E60" s="35">
        <v>4.5961763079356697</v>
      </c>
      <c r="F60" s="35">
        <v>4.0993792476198845</v>
      </c>
      <c r="G60" s="35">
        <v>4.5133767978830388</v>
      </c>
      <c r="H60" s="35">
        <v>4.1821787576725153</v>
      </c>
      <c r="J60" s="33">
        <v>7</v>
      </c>
      <c r="K60" s="37">
        <v>0.22561028345356945</v>
      </c>
      <c r="L60" s="35">
        <v>0.24167374276207346</v>
      </c>
      <c r="M60" s="35">
        <v>0.43718780065659085</v>
      </c>
      <c r="N60" s="35">
        <v>8.8694263593680961E-2</v>
      </c>
      <c r="O60" s="35">
        <v>0.36106057168653777</v>
      </c>
      <c r="P60" s="35">
        <v>0.13606231717504735</v>
      </c>
      <c r="R60" s="33">
        <v>7</v>
      </c>
      <c r="S60" s="37">
        <v>0.79999999999999982</v>
      </c>
      <c r="T60" s="35">
        <v>0.78888888888888897</v>
      </c>
      <c r="U60" s="35">
        <v>1.5304444444444445</v>
      </c>
      <c r="V60" s="35">
        <v>0.27611111111111114</v>
      </c>
      <c r="W60" s="35">
        <v>1.2306666666666668</v>
      </c>
      <c r="X60" s="35">
        <v>0.4260000000000001</v>
      </c>
    </row>
    <row r="61" spans="2:24" x14ac:dyDescent="0.2">
      <c r="B61" s="33">
        <v>8</v>
      </c>
      <c r="C61" s="33">
        <v>4.2699999999999996</v>
      </c>
      <c r="D61" s="35">
        <v>4.3477777777777771</v>
      </c>
      <c r="E61" s="35">
        <v>4.5961763079356697</v>
      </c>
      <c r="F61" s="35">
        <v>4.0993792476198845</v>
      </c>
      <c r="G61" s="35">
        <v>4.5133767978830388</v>
      </c>
      <c r="H61" s="35">
        <v>4.1821787576725153</v>
      </c>
      <c r="J61" s="33">
        <v>8</v>
      </c>
      <c r="K61" s="37">
        <v>0.24103941586387909</v>
      </c>
      <c r="L61" s="35">
        <v>0.24167374276207346</v>
      </c>
      <c r="M61" s="35">
        <v>0.43718780065659085</v>
      </c>
      <c r="N61" s="35">
        <v>8.8694263593680961E-2</v>
      </c>
      <c r="O61" s="35">
        <v>0.36106057168653777</v>
      </c>
      <c r="P61" s="35">
        <v>0.13606231717504735</v>
      </c>
      <c r="R61" s="33">
        <v>8</v>
      </c>
      <c r="S61" s="37">
        <v>0.80000000000000027</v>
      </c>
      <c r="T61" s="35">
        <v>0.78888888888888897</v>
      </c>
      <c r="U61" s="35">
        <v>1.5304444444444445</v>
      </c>
      <c r="V61" s="35">
        <v>0.27611111111111114</v>
      </c>
      <c r="W61" s="35">
        <v>1.2306666666666668</v>
      </c>
      <c r="X61" s="35">
        <v>0.4260000000000001</v>
      </c>
    </row>
    <row r="62" spans="2:24" x14ac:dyDescent="0.2">
      <c r="B62" s="33">
        <v>9</v>
      </c>
      <c r="C62" s="33">
        <v>4.42</v>
      </c>
      <c r="D62" s="35">
        <v>4.3477777777777771</v>
      </c>
      <c r="E62" s="35">
        <v>4.5961763079356697</v>
      </c>
      <c r="F62" s="35">
        <v>4.0993792476198845</v>
      </c>
      <c r="G62" s="35">
        <v>4.5133767978830388</v>
      </c>
      <c r="H62" s="35">
        <v>4.1821787576725153</v>
      </c>
      <c r="J62" s="33">
        <v>9</v>
      </c>
      <c r="K62" s="37">
        <v>0.2521904042583698</v>
      </c>
      <c r="L62" s="35">
        <v>0.24167374276207346</v>
      </c>
      <c r="M62" s="35">
        <v>0.43718780065659085</v>
      </c>
      <c r="N62" s="35">
        <v>8.8694263593680961E-2</v>
      </c>
      <c r="O62" s="35">
        <v>0.36106057168653777</v>
      </c>
      <c r="P62" s="35">
        <v>0.13606231717504735</v>
      </c>
      <c r="R62" s="33">
        <v>9</v>
      </c>
      <c r="S62" s="37">
        <v>0.79999999999999982</v>
      </c>
      <c r="T62" s="35">
        <v>0.78888888888888897</v>
      </c>
      <c r="U62" s="35">
        <v>1.5304444444444445</v>
      </c>
      <c r="V62" s="35">
        <v>0.27611111111111114</v>
      </c>
      <c r="W62" s="35">
        <v>1.2306666666666668</v>
      </c>
      <c r="X62" s="35">
        <v>0.4260000000000001</v>
      </c>
    </row>
    <row r="63" spans="2:24" x14ac:dyDescent="0.2">
      <c r="B63" s="33">
        <v>10</v>
      </c>
      <c r="C63" s="33">
        <v>3.95</v>
      </c>
      <c r="D63" s="35">
        <v>4.3477777777777771</v>
      </c>
      <c r="E63" s="35">
        <v>4.5961763079356697</v>
      </c>
      <c r="F63" s="35">
        <v>4.0993792476198845</v>
      </c>
      <c r="G63" s="35">
        <v>4.5133767978830388</v>
      </c>
      <c r="H63" s="35">
        <v>4.1821787576725153</v>
      </c>
      <c r="J63" s="33">
        <v>10</v>
      </c>
      <c r="K63" s="37">
        <v>0.2729468812791237</v>
      </c>
      <c r="L63" s="35">
        <v>0.24167374276207346</v>
      </c>
      <c r="M63" s="35">
        <v>0.43718780065659085</v>
      </c>
      <c r="N63" s="35">
        <v>8.8694263593680961E-2</v>
      </c>
      <c r="O63" s="35">
        <v>0.36106057168653777</v>
      </c>
      <c r="P63" s="35">
        <v>0.13606231717504735</v>
      </c>
      <c r="R63" s="33">
        <v>10</v>
      </c>
      <c r="S63" s="37">
        <v>0.90000000000000036</v>
      </c>
      <c r="T63" s="35">
        <v>0.78888888888888897</v>
      </c>
      <c r="U63" s="35">
        <v>1.5304444444444445</v>
      </c>
      <c r="V63" s="35">
        <v>0.27611111111111114</v>
      </c>
      <c r="W63" s="35">
        <v>1.2306666666666668</v>
      </c>
      <c r="X63" s="35">
        <v>0.4260000000000001</v>
      </c>
    </row>
    <row r="64" spans="2:24" x14ac:dyDescent="0.2">
      <c r="B64" s="33">
        <v>11</v>
      </c>
      <c r="C64" s="34">
        <v>4.43</v>
      </c>
      <c r="D64" s="35">
        <v>4.3477777777777771</v>
      </c>
      <c r="E64" s="35">
        <v>4.5961763079356697</v>
      </c>
      <c r="F64" s="35">
        <v>4.0993792476198845</v>
      </c>
      <c r="G64" s="35">
        <v>4.5133767978830388</v>
      </c>
      <c r="H64" s="35">
        <v>4.1821787576725153</v>
      </c>
      <c r="J64" s="33">
        <v>11</v>
      </c>
      <c r="K64" s="37">
        <v>0.2002498439450078</v>
      </c>
      <c r="L64" s="35">
        <v>0.24167374276207346</v>
      </c>
      <c r="M64" s="35">
        <v>0.43718780065659085</v>
      </c>
      <c r="N64" s="35">
        <v>8.8694263593680961E-2</v>
      </c>
      <c r="O64" s="35">
        <v>0.36106057168653777</v>
      </c>
      <c r="P64" s="35">
        <v>0.13606231717504735</v>
      </c>
      <c r="R64" s="33">
        <v>11</v>
      </c>
      <c r="S64" s="37">
        <v>0.70000000000000018</v>
      </c>
      <c r="T64" s="35">
        <v>0.78888888888888897</v>
      </c>
      <c r="U64" s="35">
        <v>1.5304444444444445</v>
      </c>
      <c r="V64" s="35">
        <v>0.27611111111111114</v>
      </c>
      <c r="W64" s="35">
        <v>1.2306666666666668</v>
      </c>
      <c r="X64" s="35">
        <v>0.4260000000000001</v>
      </c>
    </row>
    <row r="65" spans="2:24" x14ac:dyDescent="0.2">
      <c r="B65" s="33">
        <v>12</v>
      </c>
      <c r="C65" s="34">
        <v>4.3499999999999996</v>
      </c>
      <c r="D65" s="35">
        <v>4.3477777777777771</v>
      </c>
      <c r="E65" s="35">
        <v>4.5961763079356697</v>
      </c>
      <c r="F65" s="35">
        <v>4.0993792476198845</v>
      </c>
      <c r="G65" s="35">
        <v>4.5133767978830388</v>
      </c>
      <c r="H65" s="35">
        <v>4.1821787576725153</v>
      </c>
      <c r="J65" s="33">
        <v>12</v>
      </c>
      <c r="K65" s="37">
        <v>0.28017851452243797</v>
      </c>
      <c r="L65" s="35">
        <v>0.24167374276207346</v>
      </c>
      <c r="M65" s="35">
        <v>0.43718780065659085</v>
      </c>
      <c r="N65" s="35">
        <v>8.8694263593680961E-2</v>
      </c>
      <c r="O65" s="35">
        <v>0.36106057168653777</v>
      </c>
      <c r="P65" s="35">
        <v>0.13606231717504735</v>
      </c>
      <c r="R65" s="33">
        <v>12</v>
      </c>
      <c r="S65" s="37">
        <v>0.89999999999999991</v>
      </c>
      <c r="T65" s="35">
        <v>0.78888888888888897</v>
      </c>
      <c r="U65" s="35">
        <v>1.5304444444444445</v>
      </c>
      <c r="V65" s="35">
        <v>0.27611111111111114</v>
      </c>
      <c r="W65" s="35">
        <v>1.2306666666666668</v>
      </c>
      <c r="X65" s="35">
        <v>0.4260000000000001</v>
      </c>
    </row>
    <row r="66" spans="2:24" x14ac:dyDescent="0.2">
      <c r="B66" s="33">
        <v>13</v>
      </c>
      <c r="C66" s="34">
        <v>4.49</v>
      </c>
      <c r="D66" s="35">
        <v>4.3477777777777771</v>
      </c>
      <c r="E66" s="35">
        <v>4.5961763079356697</v>
      </c>
      <c r="F66" s="35">
        <v>4.0993792476198845</v>
      </c>
      <c r="G66" s="35">
        <v>4.5133767978830388</v>
      </c>
      <c r="H66" s="35">
        <v>4.1821787576725153</v>
      </c>
      <c r="J66" s="33">
        <v>13</v>
      </c>
      <c r="K66" s="37">
        <v>0.27367864366808015</v>
      </c>
      <c r="L66" s="35">
        <v>0.24167374276207346</v>
      </c>
      <c r="M66" s="35">
        <v>0.43718780065659085</v>
      </c>
      <c r="N66" s="35">
        <v>8.8694263593680961E-2</v>
      </c>
      <c r="O66" s="35">
        <v>0.36106057168653777</v>
      </c>
      <c r="P66" s="35">
        <v>0.13606231717504735</v>
      </c>
      <c r="R66" s="33">
        <v>13</v>
      </c>
      <c r="S66" s="37">
        <v>0.90000000000000036</v>
      </c>
      <c r="T66" s="35">
        <v>0.78888888888888897</v>
      </c>
      <c r="U66" s="35">
        <v>1.5304444444444445</v>
      </c>
      <c r="V66" s="35">
        <v>0.27611111111111114</v>
      </c>
      <c r="W66" s="35">
        <v>1.2306666666666668</v>
      </c>
      <c r="X66" s="35">
        <v>0.4260000000000001</v>
      </c>
    </row>
    <row r="67" spans="2:24" x14ac:dyDescent="0.2">
      <c r="B67" s="33">
        <v>14</v>
      </c>
      <c r="C67" s="34">
        <v>4.25</v>
      </c>
      <c r="D67" s="35">
        <v>4.3477777777777771</v>
      </c>
      <c r="E67" s="35">
        <v>4.5961763079356697</v>
      </c>
      <c r="F67" s="35">
        <v>4.0993792476198845</v>
      </c>
      <c r="G67" s="35">
        <v>4.5133767978830388</v>
      </c>
      <c r="H67" s="35">
        <v>4.1821787576725153</v>
      </c>
      <c r="J67" s="33">
        <v>14</v>
      </c>
      <c r="K67" s="37">
        <v>0.21095023109728989</v>
      </c>
      <c r="L67" s="35">
        <v>0.24167374276207346</v>
      </c>
      <c r="M67" s="35">
        <v>0.43718780065659085</v>
      </c>
      <c r="N67" s="35">
        <v>8.8694263593680961E-2</v>
      </c>
      <c r="O67" s="35">
        <v>0.36106057168653777</v>
      </c>
      <c r="P67" s="35">
        <v>0.13606231717504735</v>
      </c>
      <c r="R67" s="33">
        <v>14</v>
      </c>
      <c r="S67" s="37">
        <v>0.69999999999999973</v>
      </c>
      <c r="T67" s="35">
        <v>0.78888888888888897</v>
      </c>
      <c r="U67" s="35">
        <v>1.5304444444444445</v>
      </c>
      <c r="V67" s="35">
        <v>0.27611111111111114</v>
      </c>
      <c r="W67" s="35">
        <v>1.2306666666666668</v>
      </c>
      <c r="X67" s="35">
        <v>0.4260000000000001</v>
      </c>
    </row>
    <row r="68" spans="2:24" x14ac:dyDescent="0.2">
      <c r="B68" s="33">
        <v>15</v>
      </c>
      <c r="C68" s="34">
        <v>4.2299999999999986</v>
      </c>
      <c r="D68" s="35">
        <v>4.3477777777777771</v>
      </c>
      <c r="E68" s="35">
        <v>4.5961763079356697</v>
      </c>
      <c r="F68" s="35">
        <v>4.0993792476198845</v>
      </c>
      <c r="G68" s="35">
        <v>4.5133767978830388</v>
      </c>
      <c r="H68" s="35">
        <v>4.1821787576725153</v>
      </c>
      <c r="J68" s="33">
        <v>15</v>
      </c>
      <c r="K68" s="37">
        <v>0.1846618531261939</v>
      </c>
      <c r="L68" s="35">
        <v>0.24167374276207346</v>
      </c>
      <c r="M68" s="35">
        <v>0.43718780065659085</v>
      </c>
      <c r="N68" s="35">
        <v>8.8694263593680961E-2</v>
      </c>
      <c r="O68" s="35">
        <v>0.36106057168653777</v>
      </c>
      <c r="P68" s="35">
        <v>0.13606231717504735</v>
      </c>
      <c r="R68" s="33">
        <v>15</v>
      </c>
      <c r="S68" s="37">
        <v>0.60000000000000009</v>
      </c>
      <c r="T68" s="35">
        <v>0.78888888888888897</v>
      </c>
      <c r="U68" s="35">
        <v>1.5304444444444445</v>
      </c>
      <c r="V68" s="35">
        <v>0.27611111111111114</v>
      </c>
      <c r="W68" s="35">
        <v>1.2306666666666668</v>
      </c>
      <c r="X68" s="35">
        <v>0.4260000000000001</v>
      </c>
    </row>
    <row r="69" spans="2:24" x14ac:dyDescent="0.2">
      <c r="B69" s="33">
        <v>16</v>
      </c>
      <c r="C69" s="34">
        <v>4.42</v>
      </c>
      <c r="D69" s="35">
        <v>4.3477777777777771</v>
      </c>
      <c r="E69" s="35">
        <v>4.5961763079356697</v>
      </c>
      <c r="F69" s="35">
        <v>4.0993792476198845</v>
      </c>
      <c r="G69" s="35">
        <v>4.5133767978830388</v>
      </c>
      <c r="H69" s="35">
        <v>4.1821787576725153</v>
      </c>
      <c r="J69" s="33">
        <v>16</v>
      </c>
      <c r="K69" s="37">
        <v>0.27856776554368246</v>
      </c>
      <c r="L69" s="35">
        <v>0.24167374276207346</v>
      </c>
      <c r="M69" s="35">
        <v>0.43718780065659085</v>
      </c>
      <c r="N69" s="35">
        <v>8.8694263593680961E-2</v>
      </c>
      <c r="O69" s="35">
        <v>0.36106057168653777</v>
      </c>
      <c r="P69" s="35">
        <v>0.13606231717504735</v>
      </c>
      <c r="R69" s="33">
        <v>16</v>
      </c>
      <c r="S69" s="37">
        <v>0.89999999999999991</v>
      </c>
      <c r="T69" s="35">
        <v>0.78888888888888897</v>
      </c>
      <c r="U69" s="35">
        <v>1.5304444444444445</v>
      </c>
      <c r="V69" s="35">
        <v>0.27611111111111114</v>
      </c>
      <c r="W69" s="35">
        <v>1.2306666666666668</v>
      </c>
      <c r="X69" s="35">
        <v>0.4260000000000001</v>
      </c>
    </row>
    <row r="70" spans="2:24" x14ac:dyDescent="0.2">
      <c r="B70" s="33">
        <v>17</v>
      </c>
      <c r="C70" s="34">
        <v>4.2700000000000005</v>
      </c>
      <c r="D70" s="35">
        <v>4.3477777777777771</v>
      </c>
      <c r="E70" s="35">
        <v>4.5961763079356697</v>
      </c>
      <c r="F70" s="35">
        <v>4.0993792476198845</v>
      </c>
      <c r="G70" s="35">
        <v>4.5133767978830388</v>
      </c>
      <c r="H70" s="35">
        <v>4.1821787576725153</v>
      </c>
      <c r="J70" s="33">
        <v>17</v>
      </c>
      <c r="K70" s="37">
        <v>0.25709920264364883</v>
      </c>
      <c r="L70" s="35">
        <v>0.24167374276207346</v>
      </c>
      <c r="M70" s="35">
        <v>0.43718780065659085</v>
      </c>
      <c r="N70" s="35">
        <v>8.8694263593680961E-2</v>
      </c>
      <c r="O70" s="35">
        <v>0.36106057168653777</v>
      </c>
      <c r="P70" s="35">
        <v>0.13606231717504735</v>
      </c>
      <c r="R70" s="33">
        <v>17</v>
      </c>
      <c r="S70" s="37">
        <v>0.70000000000000018</v>
      </c>
      <c r="T70" s="35">
        <v>0.78888888888888897</v>
      </c>
      <c r="U70" s="35">
        <v>1.5304444444444445</v>
      </c>
      <c r="V70" s="35">
        <v>0.27611111111111114</v>
      </c>
      <c r="W70" s="35">
        <v>1.2306666666666668</v>
      </c>
      <c r="X70" s="35">
        <v>0.4260000000000001</v>
      </c>
    </row>
    <row r="71" spans="2:24" x14ac:dyDescent="0.2">
      <c r="B71" s="33">
        <v>18</v>
      </c>
      <c r="C71" s="34">
        <v>4.3</v>
      </c>
      <c r="D71" s="35">
        <v>4.3477777777777771</v>
      </c>
      <c r="E71" s="35">
        <v>4.5961763079356697</v>
      </c>
      <c r="F71" s="35">
        <v>4.0993792476198845</v>
      </c>
      <c r="G71" s="35">
        <v>4.5133767978830388</v>
      </c>
      <c r="H71" s="35">
        <v>4.1821787576725153</v>
      </c>
      <c r="J71" s="33">
        <v>18</v>
      </c>
      <c r="K71" s="37">
        <v>0.26076809620810593</v>
      </c>
      <c r="L71" s="35">
        <v>0.24167374276207301</v>
      </c>
      <c r="M71" s="35">
        <v>0.43718780065659085</v>
      </c>
      <c r="N71" s="35">
        <v>8.8694263593680961E-2</v>
      </c>
      <c r="O71" s="35">
        <v>0.36106057168653777</v>
      </c>
      <c r="P71" s="35">
        <v>0.13606231717504735</v>
      </c>
      <c r="R71" s="33">
        <v>18</v>
      </c>
      <c r="S71" s="37">
        <v>0.89999999999999991</v>
      </c>
      <c r="T71" s="35">
        <v>0.78888888888888897</v>
      </c>
      <c r="U71" s="35">
        <v>1.5304444444444445</v>
      </c>
      <c r="V71" s="35">
        <v>0.27611111111111114</v>
      </c>
      <c r="W71" s="35">
        <v>1.2306666666666668</v>
      </c>
      <c r="X71" s="35">
        <v>0.4260000000000001</v>
      </c>
    </row>
  </sheetData>
  <mergeCells count="7">
    <mergeCell ref="R52:X52"/>
    <mergeCell ref="R38:S38"/>
    <mergeCell ref="C25:F25"/>
    <mergeCell ref="B38:C38"/>
    <mergeCell ref="H38:I38"/>
    <mergeCell ref="B52:H52"/>
    <mergeCell ref="J52:P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92FC-F49E-EB46-B10B-6B795FE1CC66}">
  <dimension ref="A1:M75"/>
  <sheetViews>
    <sheetView topLeftCell="F57" zoomScale="280" workbookViewId="0">
      <selection activeCell="I17" sqref="I17"/>
    </sheetView>
  </sheetViews>
  <sheetFormatPr baseColWidth="10" defaultRowHeight="15" x14ac:dyDescent="0.2"/>
  <sheetData>
    <row r="1" spans="1:13" ht="16" x14ac:dyDescent="0.2">
      <c r="A1" s="52">
        <v>19</v>
      </c>
      <c r="B1" s="52">
        <v>4.0999999999999996</v>
      </c>
      <c r="C1" s="52">
        <v>4.4000000000000004</v>
      </c>
      <c r="D1" s="52">
        <v>4.0999999999999996</v>
      </c>
      <c r="E1" s="52">
        <v>4.0999999999999996</v>
      </c>
      <c r="F1" s="52">
        <v>4</v>
      </c>
      <c r="G1" s="52">
        <v>4.5999999999999996</v>
      </c>
      <c r="H1" s="52">
        <v>4.4000000000000004</v>
      </c>
      <c r="I1" s="52">
        <v>4.3</v>
      </c>
      <c r="J1" s="52">
        <v>4.7</v>
      </c>
      <c r="K1" s="52">
        <v>4.5</v>
      </c>
      <c r="L1">
        <f>AVERAGE(B1:K1)</f>
        <v>4.3199999999999994</v>
      </c>
      <c r="M1">
        <f>MAX(B1:K1)-MIN(B1:K1)</f>
        <v>0.70000000000000018</v>
      </c>
    </row>
    <row r="2" spans="1:13" ht="16" x14ac:dyDescent="0.2">
      <c r="A2" s="52">
        <v>20</v>
      </c>
      <c r="B2" s="52">
        <v>4.2</v>
      </c>
      <c r="C2" s="52">
        <v>4.3</v>
      </c>
      <c r="D2" s="52">
        <v>4.0999999999999996</v>
      </c>
      <c r="E2" s="52">
        <v>4.0999999999999996</v>
      </c>
      <c r="F2" s="52">
        <v>4.2</v>
      </c>
      <c r="G2" s="52">
        <v>4.3</v>
      </c>
      <c r="H2" s="52">
        <v>4.3</v>
      </c>
      <c r="I2" s="52">
        <v>4.5999999999999996</v>
      </c>
      <c r="J2" s="52">
        <v>4.5</v>
      </c>
      <c r="K2">
        <v>4.0999999999999996</v>
      </c>
      <c r="L2">
        <f t="shared" ref="L2:L8" si="0">AVERAGE(B2:K2)</f>
        <v>4.2700000000000005</v>
      </c>
      <c r="M2">
        <f t="shared" ref="M2:M8" si="1">MAX(B2:K2)-MIN(B2:K2)</f>
        <v>0.5</v>
      </c>
    </row>
    <row r="3" spans="1:13" ht="16" x14ac:dyDescent="0.2">
      <c r="A3" s="52">
        <v>21</v>
      </c>
      <c r="B3" s="52">
        <v>4.2</v>
      </c>
      <c r="C3" s="52">
        <v>4.3</v>
      </c>
      <c r="D3" s="52">
        <v>4.2</v>
      </c>
      <c r="E3" s="52">
        <v>4.2</v>
      </c>
      <c r="F3" s="52">
        <v>4.3</v>
      </c>
      <c r="G3" s="52">
        <v>4.3</v>
      </c>
      <c r="H3" s="52">
        <v>4.0999999999999996</v>
      </c>
      <c r="I3" s="52">
        <v>4</v>
      </c>
      <c r="J3" s="52">
        <v>4.0999999999999996</v>
      </c>
      <c r="K3" s="52">
        <v>4.0999999999999996</v>
      </c>
      <c r="L3">
        <f t="shared" si="0"/>
        <v>4.1800000000000006</v>
      </c>
      <c r="M3">
        <f t="shared" si="1"/>
        <v>0.29999999999999982</v>
      </c>
    </row>
    <row r="4" spans="1:13" ht="16" x14ac:dyDescent="0.2">
      <c r="A4" s="52">
        <v>22</v>
      </c>
      <c r="B4" s="52">
        <v>4.0999999999999996</v>
      </c>
      <c r="C4" s="52">
        <v>4.5</v>
      </c>
      <c r="D4" s="52">
        <v>4.4000000000000004</v>
      </c>
      <c r="E4" s="52">
        <v>4.4000000000000004</v>
      </c>
      <c r="F4" s="52">
        <v>4.5999999999999996</v>
      </c>
      <c r="G4" s="52">
        <v>4.4000000000000004</v>
      </c>
      <c r="H4" s="52">
        <v>4.4000000000000004</v>
      </c>
      <c r="I4" s="52">
        <v>4.3</v>
      </c>
      <c r="J4" s="52">
        <v>4.0999999999999996</v>
      </c>
      <c r="K4" s="52">
        <v>4</v>
      </c>
      <c r="L4">
        <f t="shared" si="0"/>
        <v>4.3199999999999994</v>
      </c>
      <c r="M4">
        <f t="shared" si="1"/>
        <v>0.59999999999999964</v>
      </c>
    </row>
    <row r="5" spans="1:13" ht="16" x14ac:dyDescent="0.2">
      <c r="A5" s="52">
        <v>23</v>
      </c>
      <c r="B5" s="52">
        <v>4.7</v>
      </c>
      <c r="C5" s="52">
        <v>4.5999999999999996</v>
      </c>
      <c r="D5" s="52">
        <v>4.5999999999999996</v>
      </c>
      <c r="E5" s="52">
        <v>4.5999999999999996</v>
      </c>
      <c r="F5" s="52">
        <v>4</v>
      </c>
      <c r="G5" s="52">
        <v>4</v>
      </c>
      <c r="H5" s="52">
        <v>4.2</v>
      </c>
      <c r="I5" s="52">
        <v>4</v>
      </c>
      <c r="J5" s="52">
        <v>4</v>
      </c>
      <c r="K5" s="52">
        <v>4.0999999999999996</v>
      </c>
      <c r="L5">
        <f t="shared" si="0"/>
        <v>4.28</v>
      </c>
      <c r="M5">
        <f t="shared" si="1"/>
        <v>0.70000000000000018</v>
      </c>
    </row>
    <row r="6" spans="1:13" ht="16" x14ac:dyDescent="0.2">
      <c r="A6" s="52">
        <v>24</v>
      </c>
      <c r="B6" s="52">
        <v>3.9</v>
      </c>
      <c r="C6" s="52">
        <v>4.3</v>
      </c>
      <c r="D6" s="52">
        <v>4.3</v>
      </c>
      <c r="E6" s="52">
        <v>4.3</v>
      </c>
      <c r="F6" s="52">
        <v>3.9</v>
      </c>
      <c r="G6" s="52">
        <v>3.9</v>
      </c>
      <c r="H6" s="52">
        <v>4</v>
      </c>
      <c r="I6" s="52">
        <v>3.7</v>
      </c>
      <c r="J6" s="52">
        <v>3.6</v>
      </c>
      <c r="K6" s="52">
        <v>3.7</v>
      </c>
      <c r="L6">
        <f t="shared" si="0"/>
        <v>3.96</v>
      </c>
      <c r="M6">
        <f t="shared" si="1"/>
        <v>0.69999999999999973</v>
      </c>
    </row>
    <row r="7" spans="1:13" ht="16" x14ac:dyDescent="0.2">
      <c r="A7" s="52">
        <v>25</v>
      </c>
      <c r="B7" s="52">
        <v>3.9</v>
      </c>
      <c r="C7" s="52">
        <v>3.9</v>
      </c>
      <c r="D7" s="52">
        <v>4</v>
      </c>
      <c r="E7" s="52">
        <v>4</v>
      </c>
      <c r="F7" s="52">
        <v>3.7</v>
      </c>
      <c r="G7" s="52">
        <v>4.0999999999999996</v>
      </c>
      <c r="H7" s="52">
        <v>4</v>
      </c>
      <c r="I7" s="52">
        <v>4</v>
      </c>
      <c r="J7" s="52">
        <v>4.2</v>
      </c>
      <c r="K7" s="52">
        <v>4</v>
      </c>
      <c r="L7">
        <f t="shared" si="0"/>
        <v>3.9800000000000004</v>
      </c>
      <c r="M7">
        <f t="shared" si="1"/>
        <v>0.5</v>
      </c>
    </row>
    <row r="8" spans="1:13" ht="16" x14ac:dyDescent="0.2">
      <c r="A8" s="52">
        <v>26</v>
      </c>
      <c r="B8" s="52">
        <v>4.0999999999999996</v>
      </c>
      <c r="C8" s="52">
        <v>4</v>
      </c>
      <c r="D8" s="52">
        <v>3.9</v>
      </c>
      <c r="E8" s="52">
        <v>3.9</v>
      </c>
      <c r="F8" s="52">
        <v>3.7</v>
      </c>
      <c r="G8" s="52">
        <v>4.3</v>
      </c>
      <c r="H8" s="52">
        <v>4.3</v>
      </c>
      <c r="I8" s="52">
        <v>4.5</v>
      </c>
      <c r="J8" s="52">
        <v>4.0999999999999996</v>
      </c>
      <c r="K8" s="52">
        <v>4.2</v>
      </c>
      <c r="L8">
        <f t="shared" si="0"/>
        <v>4.1000000000000005</v>
      </c>
      <c r="M8">
        <f t="shared" si="1"/>
        <v>0.79999999999999982</v>
      </c>
    </row>
    <row r="14" spans="1:13" x14ac:dyDescent="0.2">
      <c r="B14" s="33" t="s">
        <v>1</v>
      </c>
      <c r="C14" s="33" t="s">
        <v>7</v>
      </c>
      <c r="D14" s="33" t="s">
        <v>43</v>
      </c>
      <c r="E14" s="33" t="s">
        <v>29</v>
      </c>
      <c r="F14" s="53" t="s">
        <v>44</v>
      </c>
      <c r="G14" s="3"/>
      <c r="H14" s="3"/>
    </row>
    <row r="15" spans="1:13" x14ac:dyDescent="0.2">
      <c r="B15" s="33">
        <v>1</v>
      </c>
      <c r="C15" s="33">
        <v>4.51</v>
      </c>
      <c r="D15" s="35">
        <v>4.3477777777777771</v>
      </c>
      <c r="E15" s="35">
        <v>4.5961763079356697</v>
      </c>
      <c r="F15" s="54">
        <v>4.0993792476198845</v>
      </c>
      <c r="G15" s="41"/>
      <c r="H15" s="41"/>
    </row>
    <row r="16" spans="1:13" x14ac:dyDescent="0.2">
      <c r="B16" s="33">
        <v>2</v>
      </c>
      <c r="C16" s="33">
        <v>4.49</v>
      </c>
      <c r="D16" s="35">
        <v>4.3477777777777771</v>
      </c>
      <c r="E16" s="35">
        <v>4.5961763079356697</v>
      </c>
      <c r="F16" s="54">
        <v>4.0993792476198845</v>
      </c>
      <c r="G16" s="41"/>
      <c r="H16" s="41"/>
    </row>
    <row r="17" spans="2:8" x14ac:dyDescent="0.2">
      <c r="B17" s="33">
        <v>3</v>
      </c>
      <c r="C17" s="33">
        <v>4.33</v>
      </c>
      <c r="D17" s="35">
        <v>4.3477777777777771</v>
      </c>
      <c r="E17" s="35">
        <v>4.5961763079356697</v>
      </c>
      <c r="F17" s="54">
        <v>4.0993792476198845</v>
      </c>
      <c r="G17" s="41"/>
      <c r="H17" s="41"/>
    </row>
    <row r="18" spans="2:8" x14ac:dyDescent="0.2">
      <c r="B18" s="33">
        <v>4</v>
      </c>
      <c r="C18" s="33">
        <v>4.4099999999999993</v>
      </c>
      <c r="D18" s="35">
        <v>4.3477777777777771</v>
      </c>
      <c r="E18" s="35">
        <v>4.5961763079356697</v>
      </c>
      <c r="F18" s="54">
        <v>4.0993792476198845</v>
      </c>
      <c r="G18" s="41"/>
      <c r="H18" s="41"/>
    </row>
    <row r="19" spans="2:8" x14ac:dyDescent="0.2">
      <c r="B19" s="33">
        <v>5</v>
      </c>
      <c r="C19" s="33">
        <v>4.42</v>
      </c>
      <c r="D19" s="35">
        <v>4.3477777777777771</v>
      </c>
      <c r="E19" s="35">
        <v>4.5961763079356697</v>
      </c>
      <c r="F19" s="54">
        <v>4.0993792476198845</v>
      </c>
      <c r="G19" s="41"/>
      <c r="H19" s="41"/>
    </row>
    <row r="20" spans="2:8" x14ac:dyDescent="0.2">
      <c r="B20" s="33">
        <v>6</v>
      </c>
      <c r="C20" s="33">
        <v>4.2300000000000004</v>
      </c>
      <c r="D20" s="35">
        <v>4.3477777777777771</v>
      </c>
      <c r="E20" s="35">
        <v>4.5961763079356697</v>
      </c>
      <c r="F20" s="54">
        <v>4.0993792476198845</v>
      </c>
      <c r="G20" s="41"/>
      <c r="H20" s="41"/>
    </row>
    <row r="21" spans="2:8" x14ac:dyDescent="0.2">
      <c r="B21" s="33">
        <v>7</v>
      </c>
      <c r="C21" s="33">
        <v>4.49</v>
      </c>
      <c r="D21" s="35">
        <v>4.3477777777777771</v>
      </c>
      <c r="E21" s="35">
        <v>4.5961763079356697</v>
      </c>
      <c r="F21" s="54">
        <v>4.0993792476198845</v>
      </c>
      <c r="G21" s="41"/>
      <c r="H21" s="41"/>
    </row>
    <row r="22" spans="2:8" x14ac:dyDescent="0.2">
      <c r="B22" s="33">
        <v>8</v>
      </c>
      <c r="C22" s="33">
        <v>4.2699999999999996</v>
      </c>
      <c r="D22" s="35">
        <v>4.3477777777777771</v>
      </c>
      <c r="E22" s="35">
        <v>4.5961763079356697</v>
      </c>
      <c r="F22" s="54">
        <v>4.0993792476198845</v>
      </c>
      <c r="G22" s="41"/>
      <c r="H22" s="41"/>
    </row>
    <row r="23" spans="2:8" x14ac:dyDescent="0.2">
      <c r="B23" s="33">
        <v>9</v>
      </c>
      <c r="C23" s="33">
        <v>4.42</v>
      </c>
      <c r="D23" s="35">
        <v>4.3477777777777771</v>
      </c>
      <c r="E23" s="35">
        <v>4.5961763079356697</v>
      </c>
      <c r="F23" s="54">
        <v>4.0993792476198845</v>
      </c>
      <c r="G23" s="41"/>
      <c r="H23" s="41"/>
    </row>
    <row r="24" spans="2:8" x14ac:dyDescent="0.2">
      <c r="B24" s="33">
        <v>10</v>
      </c>
      <c r="C24" s="33">
        <v>3.95</v>
      </c>
      <c r="D24" s="35">
        <v>4.3477777777777771</v>
      </c>
      <c r="E24" s="35">
        <v>4.5961763079356697</v>
      </c>
      <c r="F24" s="54">
        <v>4.0993792476198845</v>
      </c>
      <c r="G24" s="41"/>
      <c r="H24" s="41"/>
    </row>
    <row r="25" spans="2:8" x14ac:dyDescent="0.2">
      <c r="B25" s="33">
        <v>11</v>
      </c>
      <c r="C25" s="34">
        <v>4.43</v>
      </c>
      <c r="D25" s="35">
        <v>4.3477777777777771</v>
      </c>
      <c r="E25" s="35">
        <v>4.5961763079356697</v>
      </c>
      <c r="F25" s="54">
        <v>4.0993792476198845</v>
      </c>
      <c r="G25" s="41"/>
      <c r="H25" s="41"/>
    </row>
    <row r="26" spans="2:8" x14ac:dyDescent="0.2">
      <c r="B26" s="33">
        <v>12</v>
      </c>
      <c r="C26" s="34">
        <v>4.3499999999999996</v>
      </c>
      <c r="D26" s="35">
        <v>4.3477777777777771</v>
      </c>
      <c r="E26" s="35">
        <v>4.5961763079356697</v>
      </c>
      <c r="F26" s="54">
        <v>4.0993792476198845</v>
      </c>
      <c r="G26" s="41"/>
      <c r="H26" s="41"/>
    </row>
    <row r="27" spans="2:8" x14ac:dyDescent="0.2">
      <c r="B27" s="33">
        <v>13</v>
      </c>
      <c r="C27" s="34">
        <v>4.49</v>
      </c>
      <c r="D27" s="35">
        <v>4.3477777777777771</v>
      </c>
      <c r="E27" s="35">
        <v>4.5961763079356697</v>
      </c>
      <c r="F27" s="54">
        <v>4.0993792476198845</v>
      </c>
      <c r="G27" s="41"/>
      <c r="H27" s="41"/>
    </row>
    <row r="28" spans="2:8" x14ac:dyDescent="0.2">
      <c r="B28" s="33">
        <v>14</v>
      </c>
      <c r="C28" s="34">
        <v>4.25</v>
      </c>
      <c r="D28" s="35">
        <v>4.3477777777777771</v>
      </c>
      <c r="E28" s="35">
        <v>4.5961763079356697</v>
      </c>
      <c r="F28" s="54">
        <v>4.0993792476198845</v>
      </c>
      <c r="G28" s="41"/>
      <c r="H28" s="41"/>
    </row>
    <row r="29" spans="2:8" x14ac:dyDescent="0.2">
      <c r="B29" s="33">
        <v>15</v>
      </c>
      <c r="C29" s="34">
        <v>4.2299999999999986</v>
      </c>
      <c r="D29" s="35">
        <v>4.3477777777777771</v>
      </c>
      <c r="E29" s="35">
        <v>4.5961763079356697</v>
      </c>
      <c r="F29" s="54">
        <v>4.0993792476198845</v>
      </c>
      <c r="G29" s="41"/>
      <c r="H29" s="41"/>
    </row>
    <row r="30" spans="2:8" x14ac:dyDescent="0.2">
      <c r="B30" s="33">
        <v>16</v>
      </c>
      <c r="C30" s="34">
        <v>4.42</v>
      </c>
      <c r="D30" s="35">
        <v>4.3477777777777771</v>
      </c>
      <c r="E30" s="35">
        <v>4.5961763079356697</v>
      </c>
      <c r="F30" s="54">
        <v>4.0993792476198845</v>
      </c>
      <c r="G30" s="41"/>
      <c r="H30" s="41"/>
    </row>
    <row r="31" spans="2:8" x14ac:dyDescent="0.2">
      <c r="B31" s="33">
        <v>17</v>
      </c>
      <c r="C31" s="34">
        <v>4.2700000000000005</v>
      </c>
      <c r="D31" s="35">
        <v>4.3477777777777771</v>
      </c>
      <c r="E31" s="35">
        <v>4.5961763079356697</v>
      </c>
      <c r="F31" s="54">
        <v>4.0993792476198845</v>
      </c>
      <c r="G31" s="41"/>
      <c r="H31" s="41"/>
    </row>
    <row r="32" spans="2:8" x14ac:dyDescent="0.2">
      <c r="B32" s="33">
        <v>18</v>
      </c>
      <c r="C32" s="34">
        <v>4.3</v>
      </c>
      <c r="D32" s="35">
        <v>4.3477777777777771</v>
      </c>
      <c r="E32" s="35">
        <v>4.5961763079356697</v>
      </c>
      <c r="F32" s="54">
        <v>4.0993792476198845</v>
      </c>
      <c r="G32" s="41"/>
      <c r="H32" s="41"/>
    </row>
    <row r="33" spans="2:6" x14ac:dyDescent="0.2">
      <c r="B33" s="33">
        <v>19</v>
      </c>
      <c r="C33">
        <v>4.3199999999999994</v>
      </c>
      <c r="D33" s="35">
        <v>4.3477777777777771</v>
      </c>
      <c r="E33" s="35">
        <v>4.5961763079356697</v>
      </c>
      <c r="F33" s="54">
        <v>4.0993792476198845</v>
      </c>
    </row>
    <row r="34" spans="2:6" x14ac:dyDescent="0.2">
      <c r="B34" s="33">
        <v>20</v>
      </c>
      <c r="C34">
        <v>4.2700000000000005</v>
      </c>
      <c r="D34" s="35">
        <v>4.3477777777777771</v>
      </c>
      <c r="E34" s="35">
        <v>4.5961763079356697</v>
      </c>
      <c r="F34" s="54">
        <v>4.0993792476198845</v>
      </c>
    </row>
    <row r="35" spans="2:6" x14ac:dyDescent="0.2">
      <c r="B35" s="33">
        <v>21</v>
      </c>
      <c r="C35">
        <v>4.1800000000000006</v>
      </c>
      <c r="D35" s="35">
        <v>4.3477777777777771</v>
      </c>
      <c r="E35" s="35">
        <v>4.5961763079356697</v>
      </c>
      <c r="F35" s="54">
        <v>4.0993792476198845</v>
      </c>
    </row>
    <row r="36" spans="2:6" x14ac:dyDescent="0.2">
      <c r="B36" s="33">
        <v>22</v>
      </c>
      <c r="C36">
        <v>4.3199999999999994</v>
      </c>
      <c r="D36" s="35">
        <v>4.3477777777777771</v>
      </c>
      <c r="E36" s="35">
        <v>4.5961763079356697</v>
      </c>
      <c r="F36" s="54">
        <v>4.0993792476198845</v>
      </c>
    </row>
    <row r="37" spans="2:6" x14ac:dyDescent="0.2">
      <c r="B37" s="33">
        <v>23</v>
      </c>
      <c r="C37">
        <v>4.28</v>
      </c>
      <c r="D37" s="35">
        <v>4.3477777777777771</v>
      </c>
      <c r="E37" s="35">
        <v>4.5961763079356697</v>
      </c>
      <c r="F37" s="35">
        <v>4.0993792476198845</v>
      </c>
    </row>
    <row r="38" spans="2:6" x14ac:dyDescent="0.2">
      <c r="B38" s="33">
        <v>24</v>
      </c>
      <c r="C38">
        <v>3.96</v>
      </c>
      <c r="D38" s="35">
        <v>4.3477777777777771</v>
      </c>
      <c r="E38" s="35">
        <v>4.5961763079356697</v>
      </c>
      <c r="F38" s="35">
        <v>4.0993792476198845</v>
      </c>
    </row>
    <row r="39" spans="2:6" x14ac:dyDescent="0.2">
      <c r="B39" s="33">
        <v>25</v>
      </c>
      <c r="C39">
        <v>3.9800000000000004</v>
      </c>
      <c r="D39" s="35">
        <v>4.3477777777777771</v>
      </c>
      <c r="E39" s="35">
        <v>4.5961763079356697</v>
      </c>
      <c r="F39" s="35">
        <v>4.0993792476198845</v>
      </c>
    </row>
    <row r="40" spans="2:6" x14ac:dyDescent="0.2">
      <c r="B40" s="33">
        <v>26</v>
      </c>
      <c r="C40">
        <v>4.1000000000000005</v>
      </c>
      <c r="D40" s="35">
        <v>4.3477777777777771</v>
      </c>
      <c r="E40" s="35">
        <v>4.5961763079356697</v>
      </c>
      <c r="F40" s="35">
        <v>4.0993792476198845</v>
      </c>
    </row>
    <row r="49" spans="2:6" x14ac:dyDescent="0.2">
      <c r="B49" s="33" t="s">
        <v>1</v>
      </c>
      <c r="C49" s="33" t="s">
        <v>13</v>
      </c>
      <c r="D49" s="33" t="s">
        <v>50</v>
      </c>
      <c r="E49" s="33" t="s">
        <v>29</v>
      </c>
      <c r="F49" s="33" t="s">
        <v>44</v>
      </c>
    </row>
    <row r="50" spans="2:6" x14ac:dyDescent="0.2">
      <c r="B50" s="33">
        <v>1</v>
      </c>
      <c r="C50" s="37">
        <v>0.59999999999999964</v>
      </c>
      <c r="D50" s="35">
        <v>0.78888888888888897</v>
      </c>
      <c r="E50" s="35">
        <v>1.5304444444444445</v>
      </c>
      <c r="F50" s="35">
        <v>0.27611111111111114</v>
      </c>
    </row>
    <row r="51" spans="2:6" x14ac:dyDescent="0.2">
      <c r="B51" s="33">
        <v>2</v>
      </c>
      <c r="C51" s="37">
        <v>1.2000000000000002</v>
      </c>
      <c r="D51" s="35">
        <v>0.78888888888888897</v>
      </c>
      <c r="E51" s="35">
        <v>1.5304444444444445</v>
      </c>
      <c r="F51" s="35">
        <v>0.27611111111111114</v>
      </c>
    </row>
    <row r="52" spans="2:6" x14ac:dyDescent="0.2">
      <c r="B52" s="33">
        <v>3</v>
      </c>
      <c r="C52" s="37">
        <v>0.70000000000000018</v>
      </c>
      <c r="D52" s="35">
        <v>0.78888888888888897</v>
      </c>
      <c r="E52" s="35">
        <v>1.5304444444444445</v>
      </c>
      <c r="F52" s="35">
        <v>0.27611111111111114</v>
      </c>
    </row>
    <row r="53" spans="2:6" x14ac:dyDescent="0.2">
      <c r="B53" s="33">
        <v>4</v>
      </c>
      <c r="C53" s="37">
        <v>1</v>
      </c>
      <c r="D53" s="35">
        <v>0.78888888888888897</v>
      </c>
      <c r="E53" s="35">
        <v>1.5304444444444445</v>
      </c>
      <c r="F53" s="35">
        <v>0.27611111111111114</v>
      </c>
    </row>
    <row r="54" spans="2:6" x14ac:dyDescent="0.2">
      <c r="B54" s="33">
        <v>5</v>
      </c>
      <c r="C54" s="37">
        <v>0.60000000000000053</v>
      </c>
      <c r="D54" s="35">
        <v>0.78888888888888897</v>
      </c>
      <c r="E54" s="35">
        <v>1.5304444444444445</v>
      </c>
      <c r="F54" s="35">
        <v>0.27611111111111114</v>
      </c>
    </row>
    <row r="55" spans="2:6" x14ac:dyDescent="0.2">
      <c r="B55" s="33">
        <v>6</v>
      </c>
      <c r="C55" s="37">
        <v>0.5</v>
      </c>
      <c r="D55" s="35">
        <v>0.78888888888888897</v>
      </c>
      <c r="E55" s="35">
        <v>1.5304444444444445</v>
      </c>
      <c r="F55" s="35">
        <v>0.27611111111111114</v>
      </c>
    </row>
    <row r="56" spans="2:6" x14ac:dyDescent="0.2">
      <c r="B56" s="33">
        <v>7</v>
      </c>
      <c r="C56" s="37">
        <v>0.79999999999999982</v>
      </c>
      <c r="D56" s="35">
        <v>0.78888888888888897</v>
      </c>
      <c r="E56" s="35">
        <v>1.5304444444444445</v>
      </c>
      <c r="F56" s="35">
        <v>0.27611111111111114</v>
      </c>
    </row>
    <row r="57" spans="2:6" x14ac:dyDescent="0.2">
      <c r="B57" s="33">
        <v>8</v>
      </c>
      <c r="C57" s="37">
        <v>0.80000000000000027</v>
      </c>
      <c r="D57" s="35">
        <v>0.78888888888888897</v>
      </c>
      <c r="E57" s="35">
        <v>1.5304444444444445</v>
      </c>
      <c r="F57" s="35">
        <v>0.27611111111111114</v>
      </c>
    </row>
    <row r="58" spans="2:6" x14ac:dyDescent="0.2">
      <c r="B58" s="33">
        <v>9</v>
      </c>
      <c r="C58" s="37">
        <v>0.79999999999999982</v>
      </c>
      <c r="D58" s="35">
        <v>0.78888888888888897</v>
      </c>
      <c r="E58" s="35">
        <v>1.5304444444444445</v>
      </c>
      <c r="F58" s="35">
        <v>0.27611111111111114</v>
      </c>
    </row>
    <row r="59" spans="2:6" x14ac:dyDescent="0.2">
      <c r="B59" s="33">
        <v>10</v>
      </c>
      <c r="C59" s="37">
        <v>0.90000000000000036</v>
      </c>
      <c r="D59" s="35">
        <v>0.78888888888888897</v>
      </c>
      <c r="E59" s="35">
        <v>1.5304444444444445</v>
      </c>
      <c r="F59" s="35">
        <v>0.27611111111111114</v>
      </c>
    </row>
    <row r="60" spans="2:6" x14ac:dyDescent="0.2">
      <c r="B60" s="33">
        <v>11</v>
      </c>
      <c r="C60" s="37">
        <v>0.70000000000000018</v>
      </c>
      <c r="D60" s="35">
        <v>0.78888888888888897</v>
      </c>
      <c r="E60" s="35">
        <v>1.5304444444444445</v>
      </c>
      <c r="F60" s="35">
        <v>0.27611111111111114</v>
      </c>
    </row>
    <row r="61" spans="2:6" x14ac:dyDescent="0.2">
      <c r="B61" s="33">
        <v>12</v>
      </c>
      <c r="C61" s="37">
        <v>0.89999999999999991</v>
      </c>
      <c r="D61" s="35">
        <v>0.78888888888888897</v>
      </c>
      <c r="E61" s="35">
        <v>1.5304444444444445</v>
      </c>
      <c r="F61" s="35">
        <v>0.27611111111111114</v>
      </c>
    </row>
    <row r="62" spans="2:6" x14ac:dyDescent="0.2">
      <c r="B62" s="33">
        <v>13</v>
      </c>
      <c r="C62" s="37">
        <v>0.90000000000000036</v>
      </c>
      <c r="D62" s="35">
        <v>0.78888888888888897</v>
      </c>
      <c r="E62" s="35">
        <v>1.5304444444444445</v>
      </c>
      <c r="F62" s="35">
        <v>0.27611111111111114</v>
      </c>
    </row>
    <row r="63" spans="2:6" x14ac:dyDescent="0.2">
      <c r="B63" s="33">
        <v>14</v>
      </c>
      <c r="C63" s="37">
        <v>0.69999999999999973</v>
      </c>
      <c r="D63" s="35">
        <v>0.78888888888888897</v>
      </c>
      <c r="E63" s="35">
        <v>1.5304444444444445</v>
      </c>
      <c r="F63" s="35">
        <v>0.27611111111111114</v>
      </c>
    </row>
    <row r="64" spans="2:6" x14ac:dyDescent="0.2">
      <c r="B64" s="33">
        <v>15</v>
      </c>
      <c r="C64" s="37">
        <v>0.60000000000000009</v>
      </c>
      <c r="D64" s="35">
        <v>0.78888888888888897</v>
      </c>
      <c r="E64" s="35">
        <v>1.5304444444444445</v>
      </c>
      <c r="F64" s="35">
        <v>0.27611111111111114</v>
      </c>
    </row>
    <row r="65" spans="2:6" x14ac:dyDescent="0.2">
      <c r="B65" s="33">
        <v>16</v>
      </c>
      <c r="C65" s="37">
        <v>0.89999999999999991</v>
      </c>
      <c r="D65" s="35">
        <v>0.78888888888888897</v>
      </c>
      <c r="E65" s="35">
        <v>1.5304444444444445</v>
      </c>
      <c r="F65" s="35">
        <v>0.27611111111111114</v>
      </c>
    </row>
    <row r="66" spans="2:6" x14ac:dyDescent="0.2">
      <c r="B66" s="33">
        <v>17</v>
      </c>
      <c r="C66" s="37">
        <v>0.70000000000000018</v>
      </c>
      <c r="D66" s="35">
        <v>0.78888888888888897</v>
      </c>
      <c r="E66" s="35">
        <v>1.5304444444444445</v>
      </c>
      <c r="F66" s="35">
        <v>0.27611111111111114</v>
      </c>
    </row>
    <row r="67" spans="2:6" x14ac:dyDescent="0.2">
      <c r="B67" s="33">
        <v>18</v>
      </c>
      <c r="C67" s="37">
        <v>0.89999999999999991</v>
      </c>
      <c r="D67" s="35">
        <v>0.78888888888888897</v>
      </c>
      <c r="E67" s="35">
        <v>1.5304444444444445</v>
      </c>
      <c r="F67" s="35">
        <v>0.27611111111111114</v>
      </c>
    </row>
    <row r="68" spans="2:6" x14ac:dyDescent="0.2">
      <c r="B68" s="33">
        <v>19</v>
      </c>
      <c r="C68" s="32">
        <v>0.70000000000000018</v>
      </c>
      <c r="D68" s="35">
        <v>0.78888888888888897</v>
      </c>
      <c r="E68" s="35">
        <v>1.5304444444444445</v>
      </c>
      <c r="F68" s="35">
        <v>0.27611111111111114</v>
      </c>
    </row>
    <row r="69" spans="2:6" x14ac:dyDescent="0.2">
      <c r="B69" s="33">
        <v>20</v>
      </c>
      <c r="C69" s="32">
        <v>0.5</v>
      </c>
      <c r="D69" s="35">
        <v>0.78888888888888897</v>
      </c>
      <c r="E69" s="35">
        <v>1.5304444444444445</v>
      </c>
      <c r="F69" s="35">
        <v>0.27611111111111114</v>
      </c>
    </row>
    <row r="70" spans="2:6" x14ac:dyDescent="0.2">
      <c r="B70" s="33">
        <v>21</v>
      </c>
      <c r="C70" s="32">
        <v>0.29999999999999982</v>
      </c>
      <c r="D70" s="35">
        <v>0.78888888888888897</v>
      </c>
      <c r="E70" s="35">
        <v>1.5304444444444445</v>
      </c>
      <c r="F70" s="35">
        <v>0.27611111111111114</v>
      </c>
    </row>
    <row r="71" spans="2:6" x14ac:dyDescent="0.2">
      <c r="B71" s="33">
        <v>22</v>
      </c>
      <c r="C71" s="32">
        <v>0.59999999999999964</v>
      </c>
      <c r="D71" s="35">
        <v>0.78888888888888897</v>
      </c>
      <c r="E71" s="35">
        <v>1.5304444444444445</v>
      </c>
      <c r="F71" s="35">
        <v>0.27611111111111114</v>
      </c>
    </row>
    <row r="72" spans="2:6" x14ac:dyDescent="0.2">
      <c r="B72" s="33">
        <v>23</v>
      </c>
      <c r="C72" s="32">
        <v>0.70000000000000018</v>
      </c>
      <c r="D72" s="35">
        <v>0.78888888888888897</v>
      </c>
      <c r="E72" s="35">
        <v>1.5304444444444445</v>
      </c>
      <c r="F72" s="35">
        <v>0.27611111111111114</v>
      </c>
    </row>
    <row r="73" spans="2:6" x14ac:dyDescent="0.2">
      <c r="B73" s="33">
        <v>24</v>
      </c>
      <c r="C73" s="32">
        <v>0.69999999999999973</v>
      </c>
      <c r="D73" s="35">
        <v>0.78888888888888897</v>
      </c>
      <c r="E73" s="35">
        <v>1.5304444444444445</v>
      </c>
      <c r="F73" s="35">
        <v>0.27611111111111114</v>
      </c>
    </row>
    <row r="74" spans="2:6" x14ac:dyDescent="0.2">
      <c r="B74" s="33">
        <v>25</v>
      </c>
      <c r="C74" s="32">
        <v>0.5</v>
      </c>
      <c r="D74" s="35">
        <v>0.78888888888888897</v>
      </c>
      <c r="E74" s="35">
        <v>1.5304444444444445</v>
      </c>
      <c r="F74" s="35">
        <v>0.27611111111111114</v>
      </c>
    </row>
    <row r="75" spans="2:6" x14ac:dyDescent="0.2">
      <c r="B75" s="33">
        <v>26</v>
      </c>
      <c r="C75" s="32">
        <v>0.79999999999999982</v>
      </c>
      <c r="D75" s="35">
        <v>0.78888888888888897</v>
      </c>
      <c r="E75" s="35">
        <v>1.5304444444444445</v>
      </c>
      <c r="F75" s="35">
        <v>0.27611111111111114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Mohammadmohsen AGHELINEJAD</cp:lastModifiedBy>
  <dcterms:created xsi:type="dcterms:W3CDTF">2020-05-03T17:36:14Z</dcterms:created>
  <dcterms:modified xsi:type="dcterms:W3CDTF">2026-03-18T08:44:31Z</dcterms:modified>
</cp:coreProperties>
</file>