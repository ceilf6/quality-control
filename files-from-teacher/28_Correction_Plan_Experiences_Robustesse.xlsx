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naien/Documents/fq01/td3/"/>
    </mc:Choice>
  </mc:AlternateContent>
  <xr:revisionPtr revIDLastSave="0" documentId="13_ncr:1_{36940364-DC73-3D43-9F1F-5A062422B28B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Données &amp; Effets" sheetId="1" r:id="rId1"/>
    <sheet name="Feuil1" sheetId="3" r:id="rId2"/>
    <sheet name="ANAVAR &amp; Robustess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B44" i="1"/>
  <c r="B35" i="1"/>
  <c r="H17" i="1"/>
  <c r="B36" i="1"/>
  <c r="D44" i="1"/>
  <c r="B43" i="1"/>
  <c r="B18" i="1"/>
  <c r="C57" i="1" l="1"/>
  <c r="C52" i="1"/>
  <c r="B49" i="1"/>
  <c r="B52" i="1" s="1"/>
  <c r="C56" i="1" s="1"/>
  <c r="B48" i="1"/>
  <c r="E57" i="1" l="1"/>
  <c r="H51" i="1"/>
  <c r="H50" i="1"/>
  <c r="H49" i="1"/>
  <c r="H44" i="1"/>
  <c r="H43" i="1"/>
  <c r="H45" i="1"/>
  <c r="H46" i="1"/>
  <c r="H47" i="1"/>
  <c r="H48" i="1"/>
  <c r="F50" i="1"/>
  <c r="K14" i="1"/>
  <c r="D49" i="1"/>
  <c r="D52" i="1" s="1"/>
  <c r="C58" i="1" s="1"/>
  <c r="C48" i="1"/>
  <c r="D48" i="1"/>
  <c r="C44" i="1"/>
  <c r="C43" i="1"/>
  <c r="K6" i="1"/>
  <c r="K7" i="1"/>
  <c r="K8" i="1"/>
  <c r="K9" i="1"/>
  <c r="K10" i="1"/>
  <c r="K11" i="1"/>
  <c r="K12" i="1"/>
  <c r="K5" i="1"/>
  <c r="J6" i="1"/>
  <c r="J7" i="1"/>
  <c r="J8" i="1"/>
  <c r="J9" i="1"/>
  <c r="J10" i="1"/>
  <c r="J11" i="1"/>
  <c r="J12" i="1"/>
  <c r="J5" i="1"/>
  <c r="H5" i="1"/>
  <c r="C36" i="1"/>
  <c r="E56" i="1" l="1"/>
  <c r="C49" i="1"/>
  <c r="D59" i="1"/>
  <c r="H6" i="1"/>
  <c r="H7" i="1"/>
  <c r="H8" i="1"/>
  <c r="H9" i="1"/>
  <c r="H10" i="1"/>
  <c r="H11" i="1"/>
  <c r="H12" i="1"/>
  <c r="C8" i="2"/>
  <c r="G12" i="1"/>
  <c r="G11" i="1"/>
  <c r="G10" i="1"/>
  <c r="G9" i="1"/>
  <c r="G8" i="1"/>
  <c r="G7" i="1"/>
  <c r="G6" i="1"/>
  <c r="G5" i="1"/>
  <c r="C18" i="1" l="1"/>
  <c r="C19" i="1" s="1"/>
  <c r="C22" i="1" s="1"/>
  <c r="B19" i="1"/>
  <c r="G14" i="1"/>
  <c r="D18" i="1"/>
  <c r="D19" i="1" s="1"/>
  <c r="D22" i="1" s="1"/>
  <c r="B22" i="1" l="1"/>
  <c r="B20" i="1"/>
  <c r="B5" i="2"/>
  <c r="D5" i="2" s="1"/>
  <c r="B33" i="1"/>
  <c r="D33" i="1" s="1"/>
  <c r="C20" i="1"/>
  <c r="B6" i="2"/>
  <c r="D6" i="2" s="1"/>
  <c r="B34" i="1"/>
  <c r="D34" i="1" s="1"/>
  <c r="H20" i="1"/>
  <c r="H24" i="1"/>
  <c r="H22" i="1"/>
  <c r="I22" i="1"/>
  <c r="H23" i="1"/>
  <c r="I20" i="1"/>
  <c r="I24" i="1"/>
  <c r="I17" i="1"/>
  <c r="I21" i="1"/>
  <c r="I18" i="1"/>
  <c r="H19" i="1"/>
  <c r="H21" i="1"/>
  <c r="I23" i="1"/>
  <c r="H18" i="1"/>
  <c r="I19" i="1"/>
  <c r="D20" i="1"/>
  <c r="H27" i="1" l="1"/>
  <c r="B32" i="1"/>
  <c r="B4" i="2"/>
  <c r="D4" i="2" s="1"/>
  <c r="D32" i="1" l="1"/>
  <c r="D35" i="1"/>
  <c r="E58" i="1"/>
  <c r="E33" i="1"/>
  <c r="G33" i="1" s="1"/>
  <c r="E32" i="1" l="1"/>
  <c r="G32" i="1" s="1"/>
  <c r="E34" i="1"/>
  <c r="G34" i="1" s="1"/>
  <c r="C59" i="1"/>
  <c r="E59" i="1" s="1"/>
  <c r="F58" i="1" l="1"/>
  <c r="F56" i="1"/>
  <c r="F57" i="1"/>
  <c r="B7" i="2" l="1"/>
  <c r="D7" i="2" s="1"/>
  <c r="E4" i="2" l="1"/>
  <c r="E5" i="2"/>
  <c r="G5" i="2" s="1"/>
  <c r="G4" i="2"/>
  <c r="E6" i="2"/>
  <c r="G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duruptam</author>
  </authors>
  <commentList>
    <comment ref="G55" authorId="0" shapeId="0" xr:uid="{6F60D47B-B007-9E42-989B-94A9A79E0CAC}">
      <text>
        <r>
          <rPr>
            <b/>
            <sz val="9"/>
            <color rgb="FF000000"/>
            <rFont val="Tahoma"/>
            <family val="2"/>
          </rPr>
          <t>duruptam: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 chercher dans la table de Fisher</t>
        </r>
      </text>
    </comment>
  </commentList>
</comments>
</file>

<file path=xl/sharedStrings.xml><?xml version="1.0" encoding="utf-8"?>
<sst xmlns="http://schemas.openxmlformats.org/spreadsheetml/2006/main" count="103" uniqueCount="77">
  <si>
    <t>CORRECTION DE L'EXERCICE : PLAN CROISÉ &amp; ROBUSTESSE</t>
  </si>
  <si>
    <t>1. Tableau complet des essais avec Moyennes et Variances</t>
  </si>
  <si>
    <t>Essai</t>
  </si>
  <si>
    <t>A (Temp)</t>
  </si>
  <si>
    <t>B (Temps)</t>
  </si>
  <si>
    <t>C (Pré-trt)</t>
  </si>
  <si>
    <t>Y (F1) : Basse %</t>
  </si>
  <si>
    <t>Y (F2) : Haute %</t>
  </si>
  <si>
    <t>Moyenne (Y_barre)</t>
  </si>
  <si>
    <t>Variance (S²)</t>
  </si>
  <si>
    <t>2. Calcul des Effets Principaux (sur la Performance Moyenne)</t>
  </si>
  <si>
    <t>3. TABLEAU D'ANALYSE DE LA VARIANCE (ANAVAR)</t>
  </si>
  <si>
    <t>Source de Variance</t>
  </si>
  <si>
    <t>Somme des Carrés (SCE)</t>
  </si>
  <si>
    <t>Degrés de liberté (ddl)</t>
  </si>
  <si>
    <t>Carré Moyen (CME)</t>
  </si>
  <si>
    <t>F-calculé</t>
  </si>
  <si>
    <t>F-critique (5%)</t>
  </si>
  <si>
    <t>Significativité</t>
  </si>
  <si>
    <t>Facteur A</t>
  </si>
  <si>
    <t>Facteur B</t>
  </si>
  <si>
    <t>Facteur C</t>
  </si>
  <si>
    <t>Résiduelle (Interactions + Rép.)</t>
  </si>
  <si>
    <t>-</t>
  </si>
  <si>
    <t>Total</t>
  </si>
  <si>
    <t>4. ANALYSE DE ROBUSTESSE ET CONFIGURATION OPTIMALE</t>
  </si>
  <si>
    <t>Objectif de Performance :</t>
  </si>
  <si>
    <t>Minimiser le taux d'huile moyen (Y).</t>
  </si>
  <si>
    <t>Choix Performance :</t>
  </si>
  <si>
    <t>Analyse de Robustesse :</t>
  </si>
  <si>
    <t>On observe sur l'onglet 1 que lorsque le facteur A est au niveau bas (-1), les variances S² entre F1 et F2 sont très élevées (jusqu'à 1.62). En revanche, lorsque A est au niveau haut (+1), les variances s'effondrent et deviennent presque nulles (0.02 ou 0.08).</t>
  </si>
  <si>
    <t>Conclusion Robustesse :</t>
  </si>
  <si>
    <t>Le réglage A = +1 (Température à 180°C) rend le procédé totalement insensible aux variations d'humidité de la patate douce (Facteur Bruit F).</t>
  </si>
  <si>
    <t>RECOMMANDATION FINALE :</t>
  </si>
  <si>
    <t>La configuration A = +1, B = +1, C = +1 est à la fois la plus performante (taux d'huile minimal à 4.0%) et la plus robuste (variance minimale de 0.02). Il y a convergence parfaite des objectifs.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</si>
  <si>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Q</t>
    </r>
  </si>
  <si>
    <t>moyenne générale</t>
  </si>
  <si>
    <r>
      <t>E</t>
    </r>
    <r>
      <rPr>
        <b/>
        <vertAlign val="subscript"/>
        <sz val="11"/>
        <rFont val="Calibri"/>
        <family val="2"/>
        <scheme val="minor"/>
      </rPr>
      <t>Q(+1)</t>
    </r>
  </si>
  <si>
    <r>
      <t>E</t>
    </r>
    <r>
      <rPr>
        <b/>
        <vertAlign val="subscript"/>
        <sz val="11"/>
        <color theme="1"/>
        <rFont val="Calibri"/>
        <family val="2"/>
        <scheme val="minor"/>
      </rPr>
      <t>Q(-1)</t>
    </r>
  </si>
  <si>
    <r>
      <t>E²</t>
    </r>
    <r>
      <rPr>
        <b/>
        <vertAlign val="subscript"/>
        <sz val="11"/>
        <color theme="1"/>
        <rFont val="Calibri"/>
        <family val="2"/>
        <scheme val="minor"/>
      </rPr>
      <t>Q(+1)</t>
    </r>
  </si>
  <si>
    <t>A</t>
  </si>
  <si>
    <t>B</t>
  </si>
  <si>
    <t>C</t>
  </si>
  <si>
    <t>TOTAL</t>
  </si>
  <si>
    <t>Les effets de A (-1.75), C (-0.475)  étant tous négatifs, il faut régler tous les facteurs au niveau haut (+1) pour minimiser Y. Soit la configuration A(+1)  C(+1).</t>
  </si>
  <si>
    <t>Effet moyen niv 1</t>
  </si>
  <si>
    <t>Effet moyen niv 2</t>
  </si>
  <si>
    <t>Facteurs</t>
  </si>
  <si>
    <t>SCE</t>
  </si>
  <si>
    <t>ddl</t>
  </si>
  <si>
    <t>CME</t>
  </si>
  <si>
    <t>F</t>
  </si>
  <si>
    <r>
      <t>F</t>
    </r>
    <r>
      <rPr>
        <vertAlign val="subscript"/>
        <sz val="11"/>
        <color theme="1"/>
        <rFont val="Calibri"/>
        <family val="2"/>
        <scheme val="minor"/>
      </rPr>
      <t>0,95</t>
    </r>
    <r>
      <rPr>
        <sz val="11"/>
        <color theme="1"/>
        <rFont val="Calibri"/>
        <family val="2"/>
        <scheme val="minor"/>
      </rPr>
      <t>(ddl Q, ddl R)</t>
    </r>
  </si>
  <si>
    <t>Décision</t>
  </si>
  <si>
    <t>Facteur significatif</t>
  </si>
  <si>
    <t>Résidu</t>
  </si>
  <si>
    <t>Robustesse</t>
  </si>
  <si>
    <t>MOYENNE</t>
  </si>
  <si>
    <t>N</t>
  </si>
  <si>
    <t>na</t>
  </si>
  <si>
    <t>nb</t>
  </si>
  <si>
    <t>nc</t>
  </si>
  <si>
    <t>nF</t>
  </si>
  <si>
    <t>s/B</t>
  </si>
  <si>
    <t>(SCE)</t>
  </si>
  <si>
    <t xml:space="preserve"> (ddl)</t>
  </si>
  <si>
    <t xml:space="preserve"> (CME)</t>
  </si>
  <si>
    <t>SCE(Total)</t>
  </si>
  <si>
    <t>On règle A(-) et C(-)</t>
  </si>
  <si>
    <t>SCE (Total)</t>
  </si>
  <si>
    <t>facteur non significatif</t>
  </si>
  <si>
    <t>pareil on règle A(-), C(-)</t>
  </si>
  <si>
    <t>comme A (-) et c(-)</t>
  </si>
  <si>
    <t>Eq^2</t>
  </si>
  <si>
    <t>F(ddl Q, DDL residuel)</t>
  </si>
  <si>
    <t>Moyenne  rép niv 1 +</t>
  </si>
  <si>
    <t>Moyenne  rép niv 2 -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</si>
</sst>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b/>
      <sz val="13"/>
      <color rgb="FF2C5282"/>
      <name val="Segoe UI"/>
    </font>
    <font>
      <b/>
      <sz val="11"/>
      <color rgb="FFFFFFFF"/>
      <name val="Segoe UI"/>
    </font>
    <font>
      <sz val="11"/>
      <color rgb="FF333333"/>
      <name val="Segoe UI"/>
    </font>
    <font>
      <b/>
      <sz val="11"/>
      <color rgb="FF000000"/>
      <name val="Segoe UI"/>
    </font>
    <font>
      <i/>
      <sz val="10"/>
      <color rgb="FF666666"/>
      <name val="Segoe UI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sz val="11"/>
      <color rgb="FFFF0000"/>
      <name val="Segoe UI"/>
    </font>
    <font>
      <sz val="11"/>
      <color rgb="FFFF0000"/>
      <name val="Calibri"/>
      <family val="2"/>
      <scheme val="minor"/>
    </font>
    <font>
      <sz val="11"/>
      <color theme="1"/>
      <name val="Segoe UI"/>
    </font>
    <font>
      <sz val="11"/>
      <color theme="4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92D050"/>
      <name val="Segoe UI"/>
    </font>
    <font>
      <sz val="11"/>
      <name val="Segoe UI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C5282"/>
        <bgColor rgb="FF2C5282"/>
      </patternFill>
    </fill>
    <fill>
      <patternFill patternType="solid">
        <fgColor rgb="FFF0F4F8"/>
        <bgColor rgb="FFF0F4F8"/>
      </patternFill>
    </fill>
    <fill>
      <patternFill patternType="solid">
        <fgColor rgb="FFEBF8FF"/>
        <bgColor rgb="FFEBF8FF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0"/>
      </left>
      <right style="thin">
        <color rgb="FFCBD5E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0" fontId="4" fillId="0" borderId="1" xfId="0" applyFont="1" applyBorder="1"/>
    <xf numFmtId="2" fontId="4" fillId="0" borderId="1" xfId="0" applyNumberFormat="1" applyFont="1" applyBorder="1"/>
    <xf numFmtId="165" fontId="4" fillId="0" borderId="1" xfId="0" applyNumberFormat="1" applyFont="1" applyBorder="1"/>
    <xf numFmtId="0" fontId="6" fillId="0" borderId="1" xfId="0" applyFont="1" applyBorder="1"/>
    <xf numFmtId="2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/>
    <xf numFmtId="0" fontId="5" fillId="0" borderId="2" xfId="0" applyFont="1" applyBorder="1"/>
    <xf numFmtId="2" fontId="5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7" fillId="0" borderId="3" xfId="0" applyFont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5" borderId="0" xfId="0" applyNumberFormat="1" applyFill="1"/>
    <xf numFmtId="0" fontId="9" fillId="5" borderId="3" xfId="0" applyFont="1" applyFill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13" fillId="3" borderId="1" xfId="0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right" vertical="center"/>
    </xf>
    <xf numFmtId="2" fontId="13" fillId="3" borderId="1" xfId="0" applyNumberFormat="1" applyFont="1" applyFill="1" applyBorder="1" applyAlignment="1">
      <alignment horizontal="right" vertical="center"/>
    </xf>
    <xf numFmtId="2" fontId="13" fillId="0" borderId="1" xfId="0" applyNumberFormat="1" applyFont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2" fontId="14" fillId="0" borderId="0" xfId="0" applyNumberFormat="1" applyFont="1"/>
    <xf numFmtId="0" fontId="14" fillId="0" borderId="0" xfId="0" applyFont="1"/>
    <xf numFmtId="0" fontId="0" fillId="0" borderId="0" xfId="0" applyAlignment="1">
      <alignment horizontal="center" vertical="center"/>
    </xf>
    <xf numFmtId="1" fontId="14" fillId="0" borderId="0" xfId="0" applyNumberFormat="1" applyFont="1"/>
    <xf numFmtId="165" fontId="14" fillId="0" borderId="0" xfId="0" applyNumberFormat="1" applyFont="1"/>
    <xf numFmtId="0" fontId="19" fillId="0" borderId="1" xfId="0" applyFont="1" applyBorder="1" applyAlignment="1">
      <alignment horizontal="center" vertical="center"/>
    </xf>
    <xf numFmtId="2" fontId="16" fillId="0" borderId="0" xfId="0" applyNumberFormat="1" applyFont="1"/>
    <xf numFmtId="0" fontId="16" fillId="0" borderId="0" xfId="0" applyFont="1"/>
    <xf numFmtId="0" fontId="0" fillId="6" borderId="0" xfId="0" applyFill="1"/>
    <xf numFmtId="0" fontId="20" fillId="3" borderId="1" xfId="0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right" vertical="center"/>
    </xf>
    <xf numFmtId="2" fontId="20" fillId="3" borderId="1" xfId="0" applyNumberFormat="1" applyFont="1" applyFill="1" applyBorder="1" applyAlignment="1">
      <alignment horizontal="right" vertical="center"/>
    </xf>
    <xf numFmtId="2" fontId="20" fillId="0" borderId="1" xfId="0" applyNumberFormat="1" applyFont="1" applyBorder="1" applyAlignment="1">
      <alignment horizontal="right" vertical="center"/>
    </xf>
    <xf numFmtId="2" fontId="21" fillId="0" borderId="0" xfId="0" applyNumberFormat="1" applyFont="1"/>
    <xf numFmtId="0" fontId="20" fillId="0" borderId="1" xfId="0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right" vertical="center"/>
    </xf>
    <xf numFmtId="2" fontId="14" fillId="6" borderId="0" xfId="0" applyNumberFormat="1" applyFont="1" applyFill="1"/>
    <xf numFmtId="2" fontId="14" fillId="7" borderId="0" xfId="0" applyNumberFormat="1" applyFont="1" applyFill="1"/>
    <xf numFmtId="164" fontId="11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 vertical="center"/>
    </xf>
    <xf numFmtId="2" fontId="12" fillId="0" borderId="0" xfId="0" applyNumberFormat="1" applyFont="1"/>
    <xf numFmtId="2" fontId="14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zoomScale="160" zoomScaleNormal="160" workbookViewId="0">
      <selection activeCell="M12" sqref="M12:P16"/>
    </sheetView>
  </sheetViews>
  <sheetFormatPr baseColWidth="10" defaultColWidth="8.83203125" defaultRowHeight="15" x14ac:dyDescent="0.2"/>
  <cols>
    <col min="1" max="1" width="29" customWidth="1"/>
    <col min="2" max="2" width="9.1640625" bestFit="1" customWidth="1"/>
    <col min="3" max="3" width="9.83203125" bestFit="1" customWidth="1"/>
    <col min="4" max="4" width="9.6640625" bestFit="1" customWidth="1"/>
    <col min="5" max="5" width="14.6640625" bestFit="1" customWidth="1"/>
    <col min="6" max="6" width="19" customWidth="1"/>
    <col min="7" max="7" width="20" customWidth="1"/>
    <col min="8" max="8" width="18" customWidth="1"/>
    <col min="9" max="9" width="13.83203125" customWidth="1"/>
  </cols>
  <sheetData>
    <row r="1" spans="1:13" ht="30" customHeight="1" x14ac:dyDescent="0.3">
      <c r="A1" s="1" t="s">
        <v>0</v>
      </c>
    </row>
    <row r="2" spans="1:13" x14ac:dyDescent="0.2">
      <c r="H2" s="25"/>
    </row>
    <row r="3" spans="1:13" ht="20" x14ac:dyDescent="0.3">
      <c r="A3" s="2" t="s">
        <v>1</v>
      </c>
    </row>
    <row r="4" spans="1:13" ht="2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6" t="s">
        <v>50</v>
      </c>
      <c r="K4" s="36" t="s">
        <v>63</v>
      </c>
    </row>
    <row r="5" spans="1:13" s="31" customFormat="1" ht="20" customHeight="1" x14ac:dyDescent="0.2">
      <c r="A5" s="30">
        <v>1</v>
      </c>
      <c r="B5" s="30">
        <v>-1</v>
      </c>
      <c r="C5" s="30">
        <v>-1</v>
      </c>
      <c r="D5" s="30">
        <v>-1</v>
      </c>
      <c r="E5" s="55">
        <v>7.2</v>
      </c>
      <c r="F5" s="55">
        <v>8.8000000000000007</v>
      </c>
      <c r="G5" s="56">
        <f t="shared" ref="G5:G12" si="0">AVERAGE(E5:F5)</f>
        <v>8</v>
      </c>
      <c r="H5" s="56">
        <f>_xlfn.VAR.S(E5:F5)</f>
        <v>1.2800000000000007</v>
      </c>
      <c r="I5" s="57"/>
      <c r="J5" s="31">
        <f>1/2*(1/E5^2+1/F5^2)</f>
        <v>1.6101673298642996E-2</v>
      </c>
      <c r="K5" s="31">
        <f>-10*LOG(J5)</f>
        <v>17.931289893963445</v>
      </c>
      <c r="M5" s="57"/>
    </row>
    <row r="6" spans="1:13" ht="20" customHeight="1" x14ac:dyDescent="0.2">
      <c r="A6" s="7">
        <v>2</v>
      </c>
      <c r="B6" s="7">
        <v>1</v>
      </c>
      <c r="C6" s="7">
        <v>-1</v>
      </c>
      <c r="D6" s="7">
        <v>-1</v>
      </c>
      <c r="E6" s="8">
        <v>5.5</v>
      </c>
      <c r="F6" s="8">
        <v>5.9</v>
      </c>
      <c r="G6" s="9">
        <f t="shared" si="0"/>
        <v>5.7</v>
      </c>
      <c r="H6" s="6">
        <f t="shared" ref="H6:H12" si="1">_xlfn.VAR.S(E6:F6)</f>
        <v>8.000000000000014E-2</v>
      </c>
      <c r="I6" s="25"/>
      <c r="J6">
        <f t="shared" ref="J6:J12" si="2">1/2*(1/E6^2+1/F6^2)</f>
        <v>3.0892614215065964E-2</v>
      </c>
      <c r="K6">
        <f t="shared" ref="K6:K12" si="3">-10*LOG(J6)</f>
        <v>15.101453389909224</v>
      </c>
      <c r="M6" s="25"/>
    </row>
    <row r="7" spans="1:13" s="31" customFormat="1" ht="20" customHeight="1" x14ac:dyDescent="0.2">
      <c r="A7" s="30">
        <v>3</v>
      </c>
      <c r="B7" s="30">
        <v>-1</v>
      </c>
      <c r="C7" s="30">
        <v>1</v>
      </c>
      <c r="D7" s="30">
        <v>-1</v>
      </c>
      <c r="E7" s="55">
        <v>6.4</v>
      </c>
      <c r="F7" s="55">
        <v>8.1999999999999993</v>
      </c>
      <c r="G7" s="56">
        <f t="shared" si="0"/>
        <v>7.3</v>
      </c>
      <c r="H7" s="56">
        <f t="shared" si="1"/>
        <v>1.6200000000000045</v>
      </c>
      <c r="I7" s="57"/>
      <c r="J7" s="31">
        <f t="shared" si="2"/>
        <v>1.9643081220255799E-2</v>
      </c>
      <c r="K7" s="31">
        <f t="shared" si="3"/>
        <v>17.067903876286383</v>
      </c>
      <c r="M7" s="57"/>
    </row>
    <row r="8" spans="1:13" ht="20" customHeight="1" x14ac:dyDescent="0.2">
      <c r="A8" s="32">
        <v>4</v>
      </c>
      <c r="B8" s="32">
        <v>1</v>
      </c>
      <c r="C8" s="32">
        <v>1</v>
      </c>
      <c r="D8" s="32">
        <v>-1</v>
      </c>
      <c r="E8" s="33">
        <v>4.8</v>
      </c>
      <c r="F8" s="33">
        <v>5</v>
      </c>
      <c r="G8" s="34">
        <f t="shared" si="0"/>
        <v>4.9000000000000004</v>
      </c>
      <c r="H8" s="35">
        <f t="shared" si="1"/>
        <v>2.0000000000000035E-2</v>
      </c>
      <c r="I8" s="25"/>
      <c r="J8">
        <f t="shared" si="2"/>
        <v>4.1701388888888885E-2</v>
      </c>
      <c r="K8">
        <f t="shared" si="3"/>
        <v>13.798494803563248</v>
      </c>
      <c r="M8" s="25"/>
    </row>
    <row r="9" spans="1:13" ht="20" customHeight="1" x14ac:dyDescent="0.2">
      <c r="A9" s="4">
        <v>5</v>
      </c>
      <c r="B9" s="4">
        <v>-1</v>
      </c>
      <c r="C9" s="4">
        <v>-1</v>
      </c>
      <c r="D9" s="4">
        <v>1</v>
      </c>
      <c r="E9" s="5">
        <v>6.9</v>
      </c>
      <c r="F9" s="5">
        <v>7.5</v>
      </c>
      <c r="G9" s="6">
        <f t="shared" si="0"/>
        <v>7.2</v>
      </c>
      <c r="H9" s="6">
        <f t="shared" si="1"/>
        <v>0.1799999999999998</v>
      </c>
      <c r="I9" s="25"/>
      <c r="J9">
        <f t="shared" si="2"/>
        <v>1.9390884268010923E-2</v>
      </c>
      <c r="K9">
        <f t="shared" si="3"/>
        <v>17.124023856628543</v>
      </c>
      <c r="M9" s="25"/>
    </row>
    <row r="10" spans="1:13" s="31" customFormat="1" ht="20" customHeight="1" x14ac:dyDescent="0.2">
      <c r="A10" s="46">
        <v>6</v>
      </c>
      <c r="B10" s="46">
        <v>1</v>
      </c>
      <c r="C10" s="46">
        <v>-1</v>
      </c>
      <c r="D10" s="46">
        <v>1</v>
      </c>
      <c r="E10" s="47">
        <v>4.2</v>
      </c>
      <c r="F10" s="47">
        <v>4.4000000000000004</v>
      </c>
      <c r="G10" s="48">
        <f t="shared" si="0"/>
        <v>4.3000000000000007</v>
      </c>
      <c r="H10" s="49">
        <f t="shared" si="1"/>
        <v>2.0000000000000035E-2</v>
      </c>
      <c r="I10" s="50"/>
      <c r="J10">
        <f t="shared" si="2"/>
        <v>5.4171117482805786E-2</v>
      </c>
      <c r="K10">
        <f t="shared" si="3"/>
        <v>12.66232205365162</v>
      </c>
      <c r="M10" s="25"/>
    </row>
    <row r="11" spans="1:13" ht="20" customHeight="1" x14ac:dyDescent="0.2">
      <c r="A11" s="51">
        <v>7</v>
      </c>
      <c r="B11" s="51">
        <v>-1</v>
      </c>
      <c r="C11" s="51">
        <v>1</v>
      </c>
      <c r="D11" s="51">
        <v>1</v>
      </c>
      <c r="E11" s="52">
        <v>6.1</v>
      </c>
      <c r="F11" s="52">
        <v>7.1</v>
      </c>
      <c r="G11" s="49">
        <f t="shared" si="0"/>
        <v>6.6</v>
      </c>
      <c r="H11" s="49">
        <f t="shared" si="1"/>
        <v>0.5</v>
      </c>
      <c r="I11" s="50"/>
      <c r="J11">
        <f t="shared" si="2"/>
        <v>2.3355914982763487E-2</v>
      </c>
      <c r="K11">
        <f t="shared" si="3"/>
        <v>16.316031142815092</v>
      </c>
      <c r="M11" s="25"/>
    </row>
    <row r="12" spans="1:13" s="44" customFormat="1" ht="20" customHeight="1" x14ac:dyDescent="0.2">
      <c r="A12" s="46">
        <v>8</v>
      </c>
      <c r="B12" s="46">
        <v>1</v>
      </c>
      <c r="C12" s="46">
        <v>1</v>
      </c>
      <c r="D12" s="46">
        <v>1</v>
      </c>
      <c r="E12" s="47">
        <v>3.9</v>
      </c>
      <c r="F12" s="47">
        <v>4.0999999999999996</v>
      </c>
      <c r="G12" s="48">
        <f t="shared" si="0"/>
        <v>4</v>
      </c>
      <c r="H12" s="49">
        <f t="shared" si="1"/>
        <v>1.9999999999999948E-2</v>
      </c>
      <c r="I12" s="50"/>
      <c r="J12">
        <f t="shared" si="2"/>
        <v>6.2617309677209923E-2</v>
      </c>
      <c r="K12">
        <f t="shared" si="3"/>
        <v>12.033055955731697</v>
      </c>
      <c r="M12" s="43"/>
    </row>
    <row r="14" spans="1:13" x14ac:dyDescent="0.2">
      <c r="F14" s="27" t="s">
        <v>36</v>
      </c>
      <c r="G14" s="25">
        <f>AVERAGE(G5:G12)</f>
        <v>6.0000000000000009</v>
      </c>
      <c r="I14" s="25"/>
      <c r="J14" t="s">
        <v>57</v>
      </c>
      <c r="K14">
        <f>AVERAGE(K5:K12)</f>
        <v>15.254321871568656</v>
      </c>
      <c r="M14" s="25"/>
    </row>
    <row r="15" spans="1:13" ht="20" x14ac:dyDescent="0.3">
      <c r="A15" s="2" t="s">
        <v>10</v>
      </c>
    </row>
    <row r="16" spans="1:13" ht="25" customHeight="1" x14ac:dyDescent="0.2">
      <c r="A16" s="3"/>
      <c r="B16" s="3"/>
      <c r="C16" s="3"/>
      <c r="D16" s="3"/>
      <c r="H16" t="s">
        <v>43</v>
      </c>
    </row>
    <row r="17" spans="1:11" ht="20" customHeight="1" x14ac:dyDescent="0.25">
      <c r="A17" s="10"/>
      <c r="B17" s="6" t="s">
        <v>40</v>
      </c>
      <c r="C17" s="6" t="s">
        <v>41</v>
      </c>
      <c r="D17" s="6" t="s">
        <v>42</v>
      </c>
      <c r="H17" s="25">
        <f>(E5-$G$14)^2</f>
        <v>1.4399999999999984</v>
      </c>
      <c r="I17" s="25">
        <f>(F5-$G$14)^2</f>
        <v>7.839999999999999</v>
      </c>
    </row>
    <row r="18" spans="1:11" ht="20" customHeight="1" x14ac:dyDescent="0.25">
      <c r="A18" s="24" t="s">
        <v>35</v>
      </c>
      <c r="B18">
        <f>SUMPRODUCT(B5:B12,$G$5:$G$12)</f>
        <v>-10.199999999999998</v>
      </c>
      <c r="C18">
        <f>SUMPRODUCT(C5:C12,$G$5:$G$12)</f>
        <v>-2.4000000000000004</v>
      </c>
      <c r="D18">
        <f>SUMPRODUCT(D5:D12,$G$5:$G$12)</f>
        <v>-3.7999999999999989</v>
      </c>
      <c r="E18" s="25"/>
      <c r="F18" s="25"/>
      <c r="G18" s="25"/>
      <c r="H18" s="25">
        <f t="shared" ref="H18:I18" si="4">(E6-$G$14)^2</f>
        <v>0.25000000000000089</v>
      </c>
      <c r="I18" s="25">
        <f t="shared" si="4"/>
        <v>1.0000000000000106E-2</v>
      </c>
      <c r="K18" s="28"/>
    </row>
    <row r="19" spans="1:11" ht="20" customHeight="1" x14ac:dyDescent="0.25">
      <c r="A19" s="29" t="s">
        <v>37</v>
      </c>
      <c r="B19">
        <f>B18/8</f>
        <v>-1.2749999999999997</v>
      </c>
      <c r="C19">
        <f t="shared" ref="C19:D19" si="5">C18/8</f>
        <v>-0.30000000000000004</v>
      </c>
      <c r="D19">
        <f t="shared" si="5"/>
        <v>-0.47499999999999987</v>
      </c>
      <c r="H19" s="25">
        <f t="shared" ref="H19:I19" si="6">(E7-$G$14)^2</f>
        <v>0.15999999999999959</v>
      </c>
      <c r="I19" s="25">
        <f t="shared" si="6"/>
        <v>4.8399999999999928</v>
      </c>
    </row>
    <row r="20" spans="1:11" ht="17" x14ac:dyDescent="0.25">
      <c r="A20" s="24" t="s">
        <v>38</v>
      </c>
      <c r="B20" s="45">
        <f>-B19</f>
        <v>1.2749999999999997</v>
      </c>
      <c r="C20">
        <f t="shared" ref="C20:D20" si="7">-C19</f>
        <v>0.30000000000000004</v>
      </c>
      <c r="D20" s="45">
        <f t="shared" si="7"/>
        <v>0.47499999999999987</v>
      </c>
      <c r="H20" s="25">
        <f t="shared" ref="H20:I20" si="8">(E8-$G$14)^2</f>
        <v>1.4400000000000026</v>
      </c>
      <c r="I20" s="25">
        <f t="shared" si="8"/>
        <v>1.0000000000000018</v>
      </c>
    </row>
    <row r="21" spans="1:11" x14ac:dyDescent="0.2">
      <c r="H21" s="25">
        <f t="shared" ref="H21:I21" si="9">(E9-$G$14)^2</f>
        <v>0.80999999999999905</v>
      </c>
      <c r="I21" s="25">
        <f t="shared" si="9"/>
        <v>2.2499999999999973</v>
      </c>
    </row>
    <row r="22" spans="1:11" ht="17" x14ac:dyDescent="0.25">
      <c r="A22" s="24" t="s">
        <v>39</v>
      </c>
      <c r="B22">
        <f>B19*B19</f>
        <v>1.6256249999999992</v>
      </c>
      <c r="C22">
        <f t="shared" ref="C22" si="10">C19*C19</f>
        <v>9.0000000000000024E-2</v>
      </c>
      <c r="D22">
        <f>D19*D19</f>
        <v>0.22562499999999988</v>
      </c>
      <c r="H22" s="25">
        <f t="shared" ref="H22:I22" si="11">(E10-$G$14)^2</f>
        <v>3.2400000000000024</v>
      </c>
      <c r="I22" s="25">
        <f t="shared" si="11"/>
        <v>2.5600000000000018</v>
      </c>
    </row>
    <row r="23" spans="1:11" x14ac:dyDescent="0.2">
      <c r="H23" s="25">
        <f t="shared" ref="H23:I23" si="12">(E11-$G$14)^2</f>
        <v>9.9999999999997521E-3</v>
      </c>
      <c r="I23" s="25">
        <f t="shared" si="12"/>
        <v>1.2099999999999973</v>
      </c>
    </row>
    <row r="24" spans="1:11" x14ac:dyDescent="0.2">
      <c r="H24" s="25">
        <f t="shared" ref="H24:I24" si="13">(E12-$G$14)^2</f>
        <v>4.4100000000000037</v>
      </c>
      <c r="I24" s="25">
        <f t="shared" si="13"/>
        <v>3.6100000000000048</v>
      </c>
    </row>
    <row r="25" spans="1:11" x14ac:dyDescent="0.2">
      <c r="H25" s="25"/>
      <c r="I25" s="25"/>
    </row>
    <row r="26" spans="1:11" x14ac:dyDescent="0.2">
      <c r="H26" s="25"/>
      <c r="I26" s="25"/>
    </row>
    <row r="27" spans="1:11" x14ac:dyDescent="0.2">
      <c r="G27" t="s">
        <v>67</v>
      </c>
      <c r="H27" s="25">
        <f>SUM(H17:I24)</f>
        <v>35.08</v>
      </c>
      <c r="I27" s="25"/>
    </row>
    <row r="28" spans="1:11" x14ac:dyDescent="0.2">
      <c r="H28" s="25"/>
      <c r="I28" s="25"/>
    </row>
    <row r="30" spans="1:11" x14ac:dyDescent="0.2">
      <c r="F30" t="s">
        <v>74</v>
      </c>
    </row>
    <row r="31" spans="1:11" ht="16" x14ac:dyDescent="0.2">
      <c r="A31" s="3" t="s">
        <v>12</v>
      </c>
      <c r="B31" s="3" t="s">
        <v>64</v>
      </c>
      <c r="C31" s="3" t="s">
        <v>65</v>
      </c>
      <c r="D31" s="3" t="s">
        <v>66</v>
      </c>
      <c r="E31" s="3" t="s">
        <v>16</v>
      </c>
      <c r="F31" s="3" t="s">
        <v>17</v>
      </c>
      <c r="G31" s="3" t="s">
        <v>18</v>
      </c>
    </row>
    <row r="32" spans="1:11" ht="16" x14ac:dyDescent="0.25">
      <c r="A32" s="11" t="s">
        <v>19</v>
      </c>
      <c r="B32" s="12">
        <f>16*B22</f>
        <v>26.009999999999987</v>
      </c>
      <c r="C32" s="4">
        <v>1</v>
      </c>
      <c r="D32" s="13">
        <f>B32/C32</f>
        <v>26.009999999999987</v>
      </c>
      <c r="E32" s="12">
        <f>D32/$D$35</f>
        <v>77.641791044775886</v>
      </c>
      <c r="F32" s="12">
        <v>4.75</v>
      </c>
      <c r="G32" s="42" t="str">
        <f>IF(E32&gt;F32, "Significatif", "Non Significatif")</f>
        <v>Significatif</v>
      </c>
    </row>
    <row r="33" spans="1:8" ht="16" x14ac:dyDescent="0.25">
      <c r="A33" s="11" t="s">
        <v>20</v>
      </c>
      <c r="B33" s="12">
        <f>16*C22</f>
        <v>1.4400000000000004</v>
      </c>
      <c r="C33" s="4">
        <v>1</v>
      </c>
      <c r="D33" s="13">
        <f>B33/C33</f>
        <v>1.4400000000000004</v>
      </c>
      <c r="E33" s="12">
        <f>D33/$D$35</f>
        <v>4.2985074626865574</v>
      </c>
      <c r="F33" s="12">
        <v>4.75</v>
      </c>
      <c r="G33" s="30" t="str">
        <f>IF(E33&gt;F33, "Significatif", "Non Significatif")</f>
        <v>Non Significatif</v>
      </c>
    </row>
    <row r="34" spans="1:8" ht="16" x14ac:dyDescent="0.25">
      <c r="A34" s="11" t="s">
        <v>21</v>
      </c>
      <c r="B34" s="12">
        <f>16*D22</f>
        <v>3.6099999999999981</v>
      </c>
      <c r="C34" s="4">
        <v>1</v>
      </c>
      <c r="D34" s="13">
        <f>B34/C34</f>
        <v>3.6099999999999981</v>
      </c>
      <c r="E34" s="12">
        <f>D34/$D$35</f>
        <v>10.776119402985042</v>
      </c>
      <c r="F34" s="12">
        <v>4.75</v>
      </c>
      <c r="G34" s="42" t="str">
        <f>IF(E34&gt;F34, "Significatif", "Non Significatif")</f>
        <v>Significatif</v>
      </c>
    </row>
    <row r="35" spans="1:8" x14ac:dyDescent="0.2">
      <c r="A35" s="14" t="s">
        <v>22</v>
      </c>
      <c r="B35" s="15">
        <f>B36-(B32+B33+B34)</f>
        <v>4.0200000000000102</v>
      </c>
      <c r="C35" s="16">
        <v>12</v>
      </c>
      <c r="D35" s="17">
        <f>B35/C35</f>
        <v>0.33500000000000085</v>
      </c>
      <c r="E35" s="16" t="s">
        <v>23</v>
      </c>
      <c r="F35" s="16" t="s">
        <v>23</v>
      </c>
      <c r="G35" s="16" t="s">
        <v>23</v>
      </c>
    </row>
    <row r="36" spans="1:8" ht="17" thickBot="1" x14ac:dyDescent="0.3">
      <c r="A36" s="18" t="s">
        <v>24</v>
      </c>
      <c r="B36" s="19">
        <f>H27</f>
        <v>35.08</v>
      </c>
      <c r="C36" s="20">
        <f>SUM(C32:C35)</f>
        <v>15</v>
      </c>
    </row>
    <row r="37" spans="1:8" ht="16" thickTop="1" x14ac:dyDescent="0.2"/>
    <row r="38" spans="1:8" x14ac:dyDescent="0.2">
      <c r="A38" s="31" t="s">
        <v>68</v>
      </c>
    </row>
    <row r="40" spans="1:8" x14ac:dyDescent="0.2">
      <c r="A40" t="s">
        <v>56</v>
      </c>
    </row>
    <row r="41" spans="1:8" x14ac:dyDescent="0.2">
      <c r="F41" t="s">
        <v>63</v>
      </c>
    </row>
    <row r="42" spans="1:8" x14ac:dyDescent="0.2">
      <c r="B42" t="s">
        <v>40</v>
      </c>
      <c r="C42" t="s">
        <v>41</v>
      </c>
      <c r="D42" t="s">
        <v>42</v>
      </c>
      <c r="F42">
        <v>17.931289893963445</v>
      </c>
      <c r="H42" t="s">
        <v>69</v>
      </c>
    </row>
    <row r="43" spans="1:8" x14ac:dyDescent="0.2">
      <c r="A43" s="27" t="s">
        <v>75</v>
      </c>
      <c r="B43" s="37">
        <f>AVERAGE(K6,K8,K10,K12)</f>
        <v>13.398831550713947</v>
      </c>
      <c r="C43" s="37">
        <f>AVERAGE(K7,K8,K11,K12)</f>
        <v>14.803871444599105</v>
      </c>
      <c r="D43" s="37">
        <f>AVERAGE(K9:K12)</f>
        <v>14.533858252206738</v>
      </c>
      <c r="E43" s="37"/>
      <c r="F43" s="37">
        <v>15.101453389909224</v>
      </c>
      <c r="H43">
        <f>(F42-$F$50)^2</f>
        <v>7.1661577929242659</v>
      </c>
    </row>
    <row r="44" spans="1:8" x14ac:dyDescent="0.2">
      <c r="A44" s="27" t="s">
        <v>76</v>
      </c>
      <c r="B44" s="37">
        <f>AVERAGE(K5,K7,K9,K11)</f>
        <v>17.109812192423366</v>
      </c>
      <c r="C44" s="37">
        <f>AVERAGE(K5:K6,K9:K10)</f>
        <v>15.704772298538209</v>
      </c>
      <c r="D44" s="37">
        <f>AVERAGE(K5:K8)</f>
        <v>15.974785490930575</v>
      </c>
      <c r="E44" s="37"/>
      <c r="F44" s="37">
        <v>17.067903876286383</v>
      </c>
      <c r="H44" s="25">
        <f>(F43-$F$50)^2</f>
        <v>2.3368772684860133E-2</v>
      </c>
    </row>
    <row r="45" spans="1:8" x14ac:dyDescent="0.2">
      <c r="A45" s="27"/>
      <c r="B45" s="37"/>
      <c r="C45" s="38"/>
      <c r="D45" s="38"/>
      <c r="E45" s="38"/>
      <c r="F45" s="38">
        <v>13.798494803563248</v>
      </c>
      <c r="H45">
        <f t="shared" ref="H45:H48" si="14">(F44-$F$50)^2</f>
        <v>3.2890796878359692</v>
      </c>
    </row>
    <row r="46" spans="1:8" x14ac:dyDescent="0.2">
      <c r="A46" s="27"/>
      <c r="B46" s="37"/>
      <c r="C46" s="38"/>
      <c r="D46" s="38"/>
      <c r="E46" s="38"/>
      <c r="F46" s="38">
        <v>17.124023856628543</v>
      </c>
      <c r="H46">
        <f t="shared" si="14"/>
        <v>2.1194324519372247</v>
      </c>
    </row>
    <row r="47" spans="1:8" x14ac:dyDescent="0.2">
      <c r="B47" s="38"/>
      <c r="C47" s="38"/>
      <c r="D47" s="38"/>
      <c r="E47" s="38"/>
      <c r="F47" s="38">
        <v>12.66232205365162</v>
      </c>
      <c r="H47">
        <f t="shared" si="14"/>
        <v>3.495785512936882</v>
      </c>
    </row>
    <row r="48" spans="1:8" x14ac:dyDescent="0.2">
      <c r="A48" s="27" t="s">
        <v>45</v>
      </c>
      <c r="B48" s="37">
        <f>B43-$K$14</f>
        <v>-1.8554903208547096</v>
      </c>
      <c r="C48" s="37">
        <f t="shared" ref="C48:D49" si="15">C43-$K$14</f>
        <v>-0.45045042696955129</v>
      </c>
      <c r="D48" s="37">
        <f t="shared" si="15"/>
        <v>-0.72046361936191872</v>
      </c>
      <c r="E48" s="37"/>
      <c r="F48" s="37">
        <v>16.316031142815092</v>
      </c>
      <c r="H48">
        <f t="shared" si="14"/>
        <v>6.7184630560819514</v>
      </c>
    </row>
    <row r="49" spans="1:10" x14ac:dyDescent="0.2">
      <c r="A49" s="27" t="s">
        <v>46</v>
      </c>
      <c r="B49" s="53">
        <f>B44-$K$14</f>
        <v>1.8554903208547096</v>
      </c>
      <c r="C49" s="54">
        <f t="shared" si="15"/>
        <v>0.45045042696955306</v>
      </c>
      <c r="D49" s="53">
        <f t="shared" si="15"/>
        <v>0.72046361936191872</v>
      </c>
      <c r="E49" s="37"/>
      <c r="F49" s="37">
        <v>12.033055955731697</v>
      </c>
      <c r="H49" s="25">
        <f>(F48-$F$50)^2</f>
        <v>1.1272265766506373</v>
      </c>
    </row>
    <row r="50" spans="1:10" x14ac:dyDescent="0.2">
      <c r="A50" s="27"/>
      <c r="B50" s="37"/>
      <c r="C50" s="37"/>
      <c r="D50" s="37"/>
      <c r="E50" s="38" t="s">
        <v>57</v>
      </c>
      <c r="F50" s="38">
        <f>AVERAGE(F42:F49)</f>
        <v>15.254321871568656</v>
      </c>
      <c r="H50" s="25">
        <f>(F49-$F$50)^2</f>
        <v>10.376554100532923</v>
      </c>
    </row>
    <row r="51" spans="1:10" x14ac:dyDescent="0.2">
      <c r="A51" s="27"/>
      <c r="B51" s="37"/>
      <c r="C51" s="38"/>
      <c r="D51" s="38"/>
      <c r="E51" s="38"/>
      <c r="F51" s="38"/>
      <c r="G51" t="s">
        <v>67</v>
      </c>
      <c r="H51">
        <f>SUM(H43:H50)</f>
        <v>34.316067951584714</v>
      </c>
    </row>
    <row r="52" spans="1:10" x14ac:dyDescent="0.2">
      <c r="A52" s="26" t="s">
        <v>73</v>
      </c>
      <c r="B52" s="25">
        <f>B49^2</f>
        <v>3.4428443307855132</v>
      </c>
      <c r="C52" s="25">
        <f t="shared" ref="C52:D52" si="16">C49^2</f>
        <v>0.20290558715705265</v>
      </c>
      <c r="D52" s="25">
        <f t="shared" si="16"/>
        <v>0.51906782682407571</v>
      </c>
    </row>
    <row r="53" spans="1:10" x14ac:dyDescent="0.2">
      <c r="B53" s="25"/>
      <c r="C53" s="25"/>
      <c r="D53" s="25"/>
    </row>
    <row r="55" spans="1:10" ht="17" x14ac:dyDescent="0.2">
      <c r="B55" s="39" t="s">
        <v>47</v>
      </c>
      <c r="C55" s="39" t="s">
        <v>48</v>
      </c>
      <c r="D55" s="39" t="s">
        <v>49</v>
      </c>
      <c r="E55" s="39" t="s">
        <v>50</v>
      </c>
      <c r="F55" s="39" t="s">
        <v>51</v>
      </c>
      <c r="G55" s="60" t="s">
        <v>52</v>
      </c>
      <c r="H55" s="60"/>
      <c r="I55" s="60" t="s">
        <v>53</v>
      </c>
      <c r="J55" s="60"/>
    </row>
    <row r="56" spans="1:10" x14ac:dyDescent="0.2">
      <c r="B56" s="26" t="s">
        <v>40</v>
      </c>
      <c r="C56" s="37">
        <f>B52*8</f>
        <v>27.542754646284106</v>
      </c>
      <c r="D56" s="40">
        <v>1</v>
      </c>
      <c r="E56" s="37">
        <f>C56/D56</f>
        <v>27.542754646284106</v>
      </c>
      <c r="F56" s="37">
        <f>E56/$E$59</f>
        <v>110.44425840366226</v>
      </c>
      <c r="G56" s="58">
        <v>7.71</v>
      </c>
      <c r="H56" s="58"/>
      <c r="I56" s="59" t="s">
        <v>54</v>
      </c>
      <c r="J56" s="59"/>
    </row>
    <row r="57" spans="1:10" x14ac:dyDescent="0.2">
      <c r="B57" s="26" t="s">
        <v>41</v>
      </c>
      <c r="C57" s="37">
        <f>C52*8</f>
        <v>1.6232446972564212</v>
      </c>
      <c r="D57" s="40">
        <v>1</v>
      </c>
      <c r="E57" s="37">
        <f>C57/D57</f>
        <v>1.6232446972564212</v>
      </c>
      <c r="F57" s="37">
        <f>E57/$E$59</f>
        <v>6.5090823012632022</v>
      </c>
      <c r="G57" s="58">
        <v>7.71</v>
      </c>
      <c r="H57" s="58"/>
      <c r="I57" s="61" t="s">
        <v>70</v>
      </c>
      <c r="J57" s="61"/>
    </row>
    <row r="58" spans="1:10" x14ac:dyDescent="0.2">
      <c r="B58" s="26" t="s">
        <v>42</v>
      </c>
      <c r="C58" s="37">
        <f>D52*8</f>
        <v>4.1525426145926057</v>
      </c>
      <c r="D58" s="40">
        <v>1</v>
      </c>
      <c r="E58" s="37">
        <f>C58/D58</f>
        <v>4.1525426145926057</v>
      </c>
      <c r="F58" s="37">
        <f>E58/$E$59</f>
        <v>16.651366047010836</v>
      </c>
      <c r="G58" s="58">
        <v>7.71</v>
      </c>
      <c r="H58" s="58"/>
      <c r="I58" s="59" t="s">
        <v>54</v>
      </c>
      <c r="J58" s="59"/>
    </row>
    <row r="59" spans="1:10" x14ac:dyDescent="0.2">
      <c r="B59" s="26" t="s">
        <v>55</v>
      </c>
      <c r="C59" s="37">
        <f>C60-SUM(C56:C58)</f>
        <v>0.99752599345158188</v>
      </c>
      <c r="D59" s="40">
        <f>D60-SUM(D56:D58)</f>
        <v>4</v>
      </c>
      <c r="E59" s="37">
        <f>C59/D59</f>
        <v>0.24938149836289547</v>
      </c>
      <c r="F59" s="37"/>
      <c r="G59" s="41"/>
      <c r="H59" s="38"/>
    </row>
    <row r="60" spans="1:10" x14ac:dyDescent="0.2">
      <c r="B60" s="26" t="s">
        <v>24</v>
      </c>
      <c r="C60" s="25">
        <v>34.316067951584714</v>
      </c>
      <c r="D60" s="40">
        <v>7</v>
      </c>
      <c r="E60" s="37"/>
      <c r="F60" s="37"/>
      <c r="G60" s="41"/>
      <c r="H60" s="38"/>
    </row>
    <row r="62" spans="1:10" x14ac:dyDescent="0.2">
      <c r="C62" t="s">
        <v>71</v>
      </c>
      <c r="F62" s="31" t="s">
        <v>72</v>
      </c>
    </row>
    <row r="64" spans="1:10" x14ac:dyDescent="0.2">
      <c r="A64" t="s">
        <v>58</v>
      </c>
      <c r="B64">
        <v>8</v>
      </c>
    </row>
    <row r="65" spans="1:2" x14ac:dyDescent="0.2">
      <c r="A65" t="s">
        <v>59</v>
      </c>
      <c r="B65">
        <v>2</v>
      </c>
    </row>
    <row r="66" spans="1:2" x14ac:dyDescent="0.2">
      <c r="A66" t="s">
        <v>60</v>
      </c>
      <c r="B66">
        <v>2</v>
      </c>
    </row>
    <row r="67" spans="1:2" x14ac:dyDescent="0.2">
      <c r="A67" t="s">
        <v>61</v>
      </c>
      <c r="B67">
        <v>2</v>
      </c>
    </row>
    <row r="68" spans="1:2" x14ac:dyDescent="0.2">
      <c r="A68" t="s">
        <v>62</v>
      </c>
      <c r="B68">
        <v>2</v>
      </c>
    </row>
  </sheetData>
  <mergeCells count="8">
    <mergeCell ref="G58:H58"/>
    <mergeCell ref="I58:J58"/>
    <mergeCell ref="G55:H55"/>
    <mergeCell ref="I55:J55"/>
    <mergeCell ref="G56:H56"/>
    <mergeCell ref="I56:J56"/>
    <mergeCell ref="G57:H57"/>
    <mergeCell ref="I57:J57"/>
  </mergeCells>
  <pageMargins left="0.75" right="0.75" top="1" bottom="1" header="0.5" footer="0.5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6918-8CB5-C448-BE22-CFCF25BA829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A3" sqref="A3:G8"/>
    </sheetView>
  </sheetViews>
  <sheetFormatPr baseColWidth="10" defaultColWidth="8.83203125" defaultRowHeight="15" x14ac:dyDescent="0.2"/>
  <cols>
    <col min="1" max="1" width="53" customWidth="1"/>
    <col min="2" max="2" width="90" customWidth="1"/>
    <col min="3" max="3" width="26" customWidth="1"/>
    <col min="4" max="4" width="20" customWidth="1"/>
    <col min="5" max="5" width="12" customWidth="1"/>
    <col min="6" max="6" width="18" customWidth="1"/>
    <col min="7" max="7" width="49" customWidth="1"/>
  </cols>
  <sheetData>
    <row r="1" spans="1:7" ht="25" customHeight="1" x14ac:dyDescent="0.3">
      <c r="A1" s="2" t="s">
        <v>11</v>
      </c>
    </row>
    <row r="3" spans="1:7" ht="25" customHeight="1" x14ac:dyDescent="0.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20" customHeight="1" x14ac:dyDescent="0.25">
      <c r="A4" s="11" t="s">
        <v>19</v>
      </c>
      <c r="B4" s="12">
        <f>16*'Données &amp; Effets'!B22</f>
        <v>26.009999999999987</v>
      </c>
      <c r="C4" s="4">
        <v>1</v>
      </c>
      <c r="D4" s="13">
        <f>B4/C4</f>
        <v>26.009999999999987</v>
      </c>
      <c r="E4" s="12">
        <f>D4/D$7</f>
        <v>77.641791044775886</v>
      </c>
      <c r="F4" s="12">
        <v>4.75</v>
      </c>
      <c r="G4" s="30" t="str">
        <f>IF(E4&gt;F4, "Significatif", "Non Significatif")</f>
        <v>Significatif</v>
      </c>
    </row>
    <row r="5" spans="1:7" ht="20" customHeight="1" x14ac:dyDescent="0.25">
      <c r="A5" s="11" t="s">
        <v>20</v>
      </c>
      <c r="B5" s="12">
        <f>16*'Données &amp; Effets'!C22</f>
        <v>1.4400000000000004</v>
      </c>
      <c r="C5" s="4">
        <v>1</v>
      </c>
      <c r="D5" s="13">
        <f>B5/C5</f>
        <v>1.4400000000000004</v>
      </c>
      <c r="E5" s="12">
        <f>D5/D$7</f>
        <v>4.2985074626865574</v>
      </c>
      <c r="F5" s="12">
        <v>4.75</v>
      </c>
      <c r="G5" s="4" t="str">
        <f>IF(E5&gt;F5, "Significatif", "Non Significatif")</f>
        <v>Non Significatif</v>
      </c>
    </row>
    <row r="6" spans="1:7" ht="20" customHeight="1" x14ac:dyDescent="0.25">
      <c r="A6" s="11" t="s">
        <v>21</v>
      </c>
      <c r="B6" s="12">
        <f>16*'Données &amp; Effets'!D22</f>
        <v>3.6099999999999981</v>
      </c>
      <c r="C6" s="4">
        <v>1</v>
      </c>
      <c r="D6" s="13">
        <f>B6/C6</f>
        <v>3.6099999999999981</v>
      </c>
      <c r="E6" s="12">
        <f>D6/D$7</f>
        <v>10.776119402985042</v>
      </c>
      <c r="F6" s="12">
        <v>4.75</v>
      </c>
      <c r="G6" s="30" t="str">
        <f>IF(E6&gt;F6, "Significatif", "Non Significatif")</f>
        <v>Significatif</v>
      </c>
    </row>
    <row r="7" spans="1:7" ht="20" customHeight="1" x14ac:dyDescent="0.2">
      <c r="A7" s="14" t="s">
        <v>22</v>
      </c>
      <c r="B7" s="15">
        <f>B8-(B4+B5+B6)</f>
        <v>4.0200000000000102</v>
      </c>
      <c r="C7" s="16">
        <v>12</v>
      </c>
      <c r="D7" s="17">
        <f>B7/C7</f>
        <v>0.33500000000000085</v>
      </c>
      <c r="E7" s="16" t="s">
        <v>23</v>
      </c>
      <c r="F7" s="16" t="s">
        <v>23</v>
      </c>
      <c r="G7" s="16" t="s">
        <v>23</v>
      </c>
    </row>
    <row r="8" spans="1:7" ht="20" customHeight="1" x14ac:dyDescent="0.25">
      <c r="A8" s="18" t="s">
        <v>24</v>
      </c>
      <c r="B8" s="19">
        <v>35.08</v>
      </c>
      <c r="C8" s="20">
        <f>SUM(C4:C7)</f>
        <v>15</v>
      </c>
    </row>
    <row r="11" spans="1:7" ht="20" x14ac:dyDescent="0.3">
      <c r="A11" s="2" t="s">
        <v>25</v>
      </c>
    </row>
    <row r="13" spans="1:7" ht="16" x14ac:dyDescent="0.2">
      <c r="A13" s="21" t="s">
        <v>26</v>
      </c>
      <c r="B13" s="22" t="s">
        <v>27</v>
      </c>
    </row>
    <row r="14" spans="1:7" ht="16" x14ac:dyDescent="0.2">
      <c r="A14" s="21" t="s">
        <v>28</v>
      </c>
      <c r="B14" s="22" t="s">
        <v>44</v>
      </c>
    </row>
    <row r="15" spans="1:7" ht="16" x14ac:dyDescent="0.2">
      <c r="A15" s="21" t="s">
        <v>29</v>
      </c>
      <c r="B15" s="22" t="s">
        <v>30</v>
      </c>
    </row>
    <row r="16" spans="1:7" ht="16" x14ac:dyDescent="0.2">
      <c r="A16" s="21" t="s">
        <v>31</v>
      </c>
      <c r="B16" s="22" t="s">
        <v>32</v>
      </c>
    </row>
    <row r="17" spans="1:2" ht="16" x14ac:dyDescent="0.2">
      <c r="A17" s="23" t="s">
        <v>33</v>
      </c>
      <c r="B17" s="2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&amp; Effets</vt:lpstr>
      <vt:lpstr>Feuil1</vt:lpstr>
      <vt:lpstr>ANAVAR &amp; Robustesse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HNAIEN Faicel</cp:lastModifiedBy>
  <dcterms:created xsi:type="dcterms:W3CDTF">2026-05-19T03:06:07Z</dcterms:created>
  <dcterms:modified xsi:type="dcterms:W3CDTF">2026-05-26T12:33:23Z</dcterms:modified>
</cp:coreProperties>
</file>