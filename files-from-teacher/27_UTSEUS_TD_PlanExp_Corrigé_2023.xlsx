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naien/Documents/fq01/"/>
    </mc:Choice>
  </mc:AlternateContent>
  <xr:revisionPtr revIDLastSave="0" documentId="13_ncr:1_{5511009A-CB9F-E94A-BA34-56E7E4D7D171}" xr6:coauthVersionLast="47" xr6:coauthVersionMax="47" xr10:uidLastSave="{00000000-0000-0000-0000-000000000000}"/>
  <bookViews>
    <workbookView xWindow="0" yWindow="660" windowWidth="30240" windowHeight="17720" activeTab="1" xr2:uid="{00000000-000D-0000-FFFF-FFFF00000000}"/>
  </bookViews>
  <sheets>
    <sheet name="Exercice 1" sheetId="1" r:id="rId1"/>
    <sheet name="Exercice 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3" i="5" l="1"/>
  <c r="C140" i="5"/>
  <c r="H128" i="5"/>
  <c r="C125" i="5"/>
  <c r="H120" i="5"/>
  <c r="C120" i="5"/>
  <c r="I120" i="5"/>
  <c r="E55" i="5"/>
  <c r="C60" i="5"/>
  <c r="D60" i="5"/>
  <c r="D65" i="5"/>
  <c r="C55" i="5"/>
  <c r="B47" i="5"/>
  <c r="F42" i="5"/>
  <c r="B44" i="5"/>
  <c r="B43" i="5"/>
  <c r="B42" i="5"/>
  <c r="D120" i="5"/>
  <c r="O16" i="5"/>
  <c r="C121" i="5"/>
  <c r="D57" i="5"/>
  <c r="D56" i="5"/>
  <c r="N17" i="5"/>
  <c r="N18" i="5"/>
  <c r="N19" i="5"/>
  <c r="N20" i="5"/>
  <c r="N21" i="5"/>
  <c r="N22" i="5"/>
  <c r="N23" i="5"/>
  <c r="M17" i="5"/>
  <c r="M18" i="5"/>
  <c r="M19" i="5"/>
  <c r="M20" i="5"/>
  <c r="M21" i="5"/>
  <c r="M22" i="5"/>
  <c r="M23" i="5"/>
  <c r="N16" i="5"/>
  <c r="M16" i="5"/>
  <c r="P16" i="5" s="1"/>
  <c r="D11" i="1"/>
  <c r="D139" i="5" l="1"/>
  <c r="D152" i="5"/>
  <c r="D153" i="5"/>
  <c r="D154" i="5"/>
  <c r="D160" i="5"/>
  <c r="D161" i="5"/>
  <c r="D162" i="5"/>
  <c r="D167" i="5"/>
  <c r="D168" i="5"/>
  <c r="D169" i="5"/>
  <c r="D170" i="5"/>
  <c r="D175" i="5"/>
  <c r="D176" i="5"/>
  <c r="D177" i="5"/>
  <c r="D178" i="5"/>
  <c r="D150" i="5"/>
  <c r="D61" i="5"/>
  <c r="M25" i="5"/>
  <c r="O17" i="5"/>
  <c r="O19" i="5"/>
  <c r="O18" i="5"/>
  <c r="O20" i="5"/>
  <c r="O21" i="5"/>
  <c r="O22" i="5"/>
  <c r="O23" i="5"/>
  <c r="P19" i="5" l="1"/>
  <c r="H35" i="5" s="1"/>
  <c r="P21" i="5"/>
  <c r="H37" i="5" s="1"/>
  <c r="P23" i="5"/>
  <c r="H39" i="5" s="1"/>
  <c r="D159" i="5"/>
  <c r="D151" i="5"/>
  <c r="E151" i="5" s="1"/>
  <c r="P22" i="5"/>
  <c r="H38" i="5" s="1"/>
  <c r="B45" i="5" s="1"/>
  <c r="P20" i="5"/>
  <c r="H36" i="5" s="1"/>
  <c r="P17" i="5"/>
  <c r="H33" i="5" s="1"/>
  <c r="D149" i="5"/>
  <c r="E149" i="5" s="1"/>
  <c r="D174" i="5"/>
  <c r="D166" i="5"/>
  <c r="D158" i="5"/>
  <c r="E158" i="5" s="1"/>
  <c r="D173" i="5"/>
  <c r="E173" i="5" s="1"/>
  <c r="D165" i="5"/>
  <c r="E165" i="5" s="1"/>
  <c r="D157" i="5"/>
  <c r="E157" i="5" s="1"/>
  <c r="D180" i="5"/>
  <c r="E180" i="5" s="1"/>
  <c r="D172" i="5"/>
  <c r="D164" i="5"/>
  <c r="E164" i="5" s="1"/>
  <c r="D156" i="5"/>
  <c r="E156" i="5" s="1"/>
  <c r="P18" i="5"/>
  <c r="H34" i="5" s="1"/>
  <c r="D179" i="5"/>
  <c r="E179" i="5" s="1"/>
  <c r="D171" i="5"/>
  <c r="D163" i="5"/>
  <c r="E163" i="5" s="1"/>
  <c r="D155" i="5"/>
  <c r="E155" i="5" s="1"/>
  <c r="H32" i="5"/>
  <c r="E126" i="5"/>
  <c r="F126" i="5"/>
  <c r="E125" i="5"/>
  <c r="F125" i="5"/>
  <c r="H125" i="5"/>
  <c r="C127" i="5"/>
  <c r="E178" i="5"/>
  <c r="E177" i="5"/>
  <c r="E176" i="5"/>
  <c r="E175" i="5"/>
  <c r="E174" i="5"/>
  <c r="E172" i="5"/>
  <c r="E171" i="5"/>
  <c r="E170" i="5"/>
  <c r="E169" i="5"/>
  <c r="E168" i="5"/>
  <c r="E167" i="5"/>
  <c r="E166" i="5"/>
  <c r="E162" i="5"/>
  <c r="E161" i="5"/>
  <c r="E160" i="5"/>
  <c r="E159" i="5"/>
  <c r="E154" i="5"/>
  <c r="E153" i="5"/>
  <c r="E152" i="5"/>
  <c r="E150" i="5"/>
  <c r="C149" i="5"/>
  <c r="D144" i="5"/>
  <c r="D136" i="5"/>
  <c r="D142" i="5" s="1"/>
  <c r="D135" i="5"/>
  <c r="D141" i="5" s="1"/>
  <c r="D134" i="5"/>
  <c r="D140" i="5" s="1"/>
  <c r="H123" i="5"/>
  <c r="O100" i="5" s="1"/>
  <c r="C123" i="5"/>
  <c r="C128" i="5" s="1"/>
  <c r="H122" i="5"/>
  <c r="H127" i="5" s="1"/>
  <c r="N96" i="5" s="1"/>
  <c r="C122" i="5"/>
  <c r="H121" i="5"/>
  <c r="H126" i="5" s="1"/>
  <c r="G121" i="5"/>
  <c r="G126" i="5" s="1"/>
  <c r="F121" i="5"/>
  <c r="E121" i="5"/>
  <c r="D121" i="5"/>
  <c r="D126" i="5" s="1"/>
  <c r="C135" i="5" s="1"/>
  <c r="E135" i="5" s="1"/>
  <c r="C126" i="5"/>
  <c r="G120" i="5"/>
  <c r="G125" i="5" s="1"/>
  <c r="F120" i="5"/>
  <c r="E120" i="5"/>
  <c r="D125" i="5"/>
  <c r="B95" i="5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C65" i="5"/>
  <c r="L91" i="5" l="1"/>
  <c r="L92" i="5"/>
  <c r="C43" i="5"/>
  <c r="D43" i="5"/>
  <c r="O92" i="5"/>
  <c r="M92" i="5"/>
  <c r="N89" i="5"/>
  <c r="O90" i="5"/>
  <c r="M90" i="5"/>
  <c r="M96" i="5"/>
  <c r="M95" i="5"/>
  <c r="M99" i="5"/>
  <c r="M91" i="5"/>
  <c r="P25" i="5"/>
  <c r="H40" i="5" s="1"/>
  <c r="D68" i="5" s="1"/>
  <c r="E68" i="5" s="1"/>
  <c r="O91" i="5"/>
  <c r="D55" i="5"/>
  <c r="M100" i="5"/>
  <c r="C42" i="5"/>
  <c r="L89" i="5"/>
  <c r="C144" i="5"/>
  <c r="C134" i="5"/>
  <c r="E134" i="5" s="1"/>
  <c r="C137" i="5"/>
  <c r="L100" i="5"/>
  <c r="C139" i="5"/>
  <c r="E139" i="5" s="1"/>
  <c r="D72" i="5"/>
  <c r="E72" i="5" s="1"/>
  <c r="D71" i="5"/>
  <c r="E71" i="5" s="1"/>
  <c r="D48" i="5"/>
  <c r="D70" i="5"/>
  <c r="E70" i="5" s="1"/>
  <c r="C48" i="5"/>
  <c r="D66" i="5"/>
  <c r="E66" i="5" s="1"/>
  <c r="E65" i="5"/>
  <c r="N91" i="5"/>
  <c r="N95" i="5"/>
  <c r="N99" i="5"/>
  <c r="N92" i="5"/>
  <c r="O95" i="5"/>
  <c r="N100" i="5"/>
  <c r="N90" i="5"/>
  <c r="O99" i="5"/>
  <c r="L95" i="5"/>
  <c r="O96" i="5"/>
  <c r="L99" i="5"/>
  <c r="L90" i="5"/>
  <c r="L96" i="5"/>
  <c r="O89" i="5"/>
  <c r="M89" i="5"/>
  <c r="E43" i="5"/>
  <c r="F43" i="5"/>
  <c r="C136" i="5"/>
  <c r="E136" i="5" s="1"/>
  <c r="C138" i="5"/>
  <c r="C142" i="5" l="1"/>
  <c r="E142" i="5" s="1"/>
  <c r="D67" i="5"/>
  <c r="E67" i="5" s="1"/>
  <c r="C141" i="5"/>
  <c r="E141" i="5" s="1"/>
  <c r="C61" i="5"/>
  <c r="F48" i="5"/>
  <c r="E48" i="5"/>
  <c r="D69" i="5"/>
  <c r="E69" i="5" s="1"/>
  <c r="C47" i="5"/>
  <c r="C56" i="5" s="1"/>
  <c r="E56" i="5" s="1"/>
  <c r="B48" i="5"/>
  <c r="B49" i="5"/>
  <c r="B50" i="5"/>
  <c r="F47" i="5"/>
  <c r="C59" i="5" s="1"/>
  <c r="E42" i="5"/>
  <c r="E47" i="5" s="1"/>
  <c r="C58" i="5" s="1"/>
  <c r="D42" i="5"/>
  <c r="C143" i="5" l="1"/>
  <c r="E143" i="5" s="1"/>
  <c r="D47" i="5"/>
  <c r="C57" i="5" s="1"/>
  <c r="E57" i="5" s="1"/>
  <c r="E140" i="5"/>
  <c r="F134" i="5" l="1"/>
  <c r="F141" i="5"/>
  <c r="F142" i="5"/>
  <c r="E60" i="5"/>
  <c r="F55" i="5" s="1"/>
  <c r="F140" i="5"/>
  <c r="F135" i="5"/>
  <c r="F136" i="5"/>
  <c r="F139" i="5"/>
  <c r="F57" i="5" l="1"/>
  <c r="F56" i="5"/>
  <c r="E61" i="1"/>
  <c r="K12" i="1"/>
  <c r="K13" i="1"/>
  <c r="K14" i="1"/>
  <c r="K15" i="1"/>
  <c r="K16" i="1"/>
  <c r="K17" i="1"/>
  <c r="K18" i="1"/>
  <c r="K11" i="1"/>
  <c r="B19" i="1" l="1"/>
  <c r="B20" i="1" s="1"/>
  <c r="B23" i="1" s="1"/>
  <c r="E19" i="1"/>
  <c r="C19" i="1"/>
  <c r="K19" i="1"/>
  <c r="M49" i="1" l="1"/>
  <c r="P49" i="1" s="1"/>
  <c r="M45" i="1"/>
  <c r="P45" i="1" s="1"/>
  <c r="L42" i="1"/>
  <c r="O42" i="1" s="1"/>
  <c r="L46" i="1"/>
  <c r="O46" i="1" s="1"/>
  <c r="M44" i="1"/>
  <c r="P44" i="1" s="1"/>
  <c r="L43" i="1"/>
  <c r="O43" i="1" s="1"/>
  <c r="L47" i="1"/>
  <c r="O47" i="1" s="1"/>
  <c r="M48" i="1"/>
  <c r="P48" i="1" s="1"/>
  <c r="M43" i="1"/>
  <c r="P43" i="1" s="1"/>
  <c r="M47" i="1"/>
  <c r="P47" i="1" s="1"/>
  <c r="L48" i="1"/>
  <c r="O48" i="1" s="1"/>
  <c r="L44" i="1"/>
  <c r="O44" i="1" s="1"/>
  <c r="L45" i="1"/>
  <c r="O45" i="1" s="1"/>
  <c r="L49" i="1"/>
  <c r="O49" i="1" s="1"/>
  <c r="M42" i="1"/>
  <c r="P42" i="1" s="1"/>
  <c r="M46" i="1"/>
  <c r="P46" i="1" s="1"/>
  <c r="E62" i="1"/>
  <c r="C55" i="1"/>
  <c r="D50" i="1" s="1"/>
  <c r="D49" i="1" s="1"/>
  <c r="F32" i="1"/>
  <c r="C20" i="1"/>
  <c r="C23" i="1" s="1"/>
  <c r="E20" i="1"/>
  <c r="E23" i="1" s="1"/>
  <c r="C50" i="1" l="1"/>
  <c r="C42" i="1"/>
  <c r="E42" i="1" s="1"/>
  <c r="C45" i="1"/>
  <c r="E45" i="1" s="1"/>
  <c r="C43" i="1"/>
  <c r="E63" i="1"/>
  <c r="E21" i="1"/>
  <c r="B21" i="1"/>
  <c r="C21" i="1"/>
  <c r="F30" i="1" l="1"/>
  <c r="E43" i="1"/>
  <c r="H12" i="1"/>
  <c r="H13" i="1"/>
  <c r="H14" i="1"/>
  <c r="H15" i="1"/>
  <c r="H16" i="1"/>
  <c r="H17" i="1"/>
  <c r="H18" i="1"/>
  <c r="H11" i="1"/>
  <c r="G12" i="1"/>
  <c r="G13" i="1"/>
  <c r="G14" i="1"/>
  <c r="G15" i="1"/>
  <c r="G16" i="1"/>
  <c r="G17" i="1"/>
  <c r="G18" i="1"/>
  <c r="G11" i="1"/>
  <c r="F12" i="1"/>
  <c r="F13" i="1"/>
  <c r="F14" i="1"/>
  <c r="F15" i="1"/>
  <c r="F16" i="1"/>
  <c r="F17" i="1"/>
  <c r="F18" i="1"/>
  <c r="F11" i="1"/>
  <c r="D13" i="1"/>
  <c r="D14" i="1"/>
  <c r="D15" i="1"/>
  <c r="D16" i="1"/>
  <c r="D17" i="1"/>
  <c r="D18" i="1"/>
  <c r="D12" i="1"/>
  <c r="F19" i="1" l="1"/>
  <c r="H19" i="1"/>
  <c r="G19" i="1"/>
  <c r="D19" i="1"/>
  <c r="H20" i="1"/>
  <c r="H23" i="1" s="1"/>
  <c r="C48" i="1" s="1"/>
  <c r="D20" i="1"/>
  <c r="D23" i="1" s="1"/>
  <c r="C44" i="1" s="1"/>
  <c r="C49" i="1" s="1"/>
  <c r="G20" i="1"/>
  <c r="G23" i="1" s="1"/>
  <c r="C47" i="1" s="1"/>
  <c r="F20" i="1"/>
  <c r="F23" i="1" s="1"/>
  <c r="C46" i="1" s="1"/>
  <c r="E46" i="1" s="1"/>
  <c r="E44" i="1" l="1"/>
  <c r="E49" i="1"/>
  <c r="F42" i="1" s="1"/>
  <c r="E47" i="1"/>
  <c r="D61" i="1"/>
  <c r="E48" i="1"/>
  <c r="D62" i="1"/>
  <c r="H21" i="1"/>
  <c r="F21" i="1"/>
  <c r="D21" i="1"/>
  <c r="G21" i="1"/>
  <c r="D65" i="1" l="1"/>
  <c r="F61" i="1" s="1"/>
  <c r="F48" i="1"/>
  <c r="F43" i="1"/>
  <c r="F47" i="1"/>
  <c r="F46" i="1"/>
  <c r="D63" i="1"/>
  <c r="D66" i="1" s="1"/>
  <c r="F63" i="1" s="1"/>
  <c r="G61" i="1" s="1"/>
  <c r="F44" i="1" l="1"/>
  <c r="F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duruptam</author>
  </authors>
  <commentList>
    <comment ref="G54" authorId="0" shapeId="0" xr:uid="{4A8A613A-E5A8-4D8E-B0EC-E8486411AAE8}">
      <text>
        <r>
          <rPr>
            <b/>
            <sz val="9"/>
            <color indexed="81"/>
            <rFont val="Tahoma"/>
            <family val="2"/>
          </rPr>
          <t>duruptam:</t>
        </r>
        <r>
          <rPr>
            <sz val="9"/>
            <color indexed="81"/>
            <rFont val="Tahoma"/>
            <family val="2"/>
          </rPr>
          <t xml:space="preserve">
A chercher dans la table de Fisher</t>
        </r>
      </text>
    </comment>
    <comment ref="G133" authorId="0" shapeId="0" xr:uid="{74EB75AB-2645-4D3B-B5A0-2B3E2CFAB17C}">
      <text>
        <r>
          <rPr>
            <b/>
            <sz val="9"/>
            <color rgb="FF000000"/>
            <rFont val="Tahoma"/>
            <family val="2"/>
          </rPr>
          <t>duruptam: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 chercher dans la table de Fisher</t>
        </r>
      </text>
    </comment>
  </commentList>
</comments>
</file>

<file path=xl/sharedStrings.xml><?xml version="1.0" encoding="utf-8"?>
<sst xmlns="http://schemas.openxmlformats.org/spreadsheetml/2006/main" count="237" uniqueCount="119">
  <si>
    <t>A</t>
  </si>
  <si>
    <t>B</t>
  </si>
  <si>
    <t>C</t>
  </si>
  <si>
    <t>AB</t>
  </si>
  <si>
    <t>AC</t>
  </si>
  <si>
    <t>BC</t>
  </si>
  <si>
    <t>ABC</t>
  </si>
  <si>
    <r>
      <t>2</t>
    </r>
    <r>
      <rPr>
        <b/>
        <vertAlign val="superscript"/>
        <sz val="11"/>
        <color theme="1"/>
        <rFont val="Calibri"/>
        <family val="2"/>
        <scheme val="minor"/>
      </rPr>
      <t xml:space="preserve">k </t>
    </r>
    <r>
      <rPr>
        <b/>
        <sz val="11"/>
        <color theme="1"/>
        <rFont val="Calibri"/>
        <family val="2"/>
        <scheme val="minor"/>
      </rPr>
      <t>essais = 8 essais</t>
    </r>
  </si>
  <si>
    <r>
      <t>S</t>
    </r>
    <r>
      <rPr>
        <b/>
        <vertAlign val="subscript"/>
        <sz val="11"/>
        <color theme="1"/>
        <rFont val="Calibri"/>
        <family val="2"/>
        <scheme val="minor"/>
      </rPr>
      <t>Q</t>
    </r>
  </si>
  <si>
    <r>
      <t>E</t>
    </r>
    <r>
      <rPr>
        <b/>
        <vertAlign val="subscript"/>
        <sz val="11"/>
        <color theme="1"/>
        <rFont val="Calibri"/>
        <family val="2"/>
        <scheme val="minor"/>
      </rPr>
      <t>Q(-1)</t>
    </r>
  </si>
  <si>
    <t>Facteurs</t>
  </si>
  <si>
    <t>SCE</t>
  </si>
  <si>
    <t>ddl</t>
  </si>
  <si>
    <t>CME</t>
  </si>
  <si>
    <t>F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</si>
  <si>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0,95</t>
    </r>
  </si>
  <si>
    <t>Résiduelle</t>
  </si>
  <si>
    <t>Total</t>
  </si>
  <si>
    <t>Décision</t>
  </si>
  <si>
    <r>
      <t>E²</t>
    </r>
    <r>
      <rPr>
        <b/>
        <vertAlign val="subscript"/>
        <sz val="11"/>
        <color theme="1"/>
        <rFont val="Calibri"/>
        <family val="2"/>
        <scheme val="minor"/>
      </rPr>
      <t>Q(+1)</t>
    </r>
  </si>
  <si>
    <t>Facteur significatif</t>
  </si>
  <si>
    <t>Facteur non significatif</t>
  </si>
  <si>
    <t>SCE(EM)</t>
  </si>
  <si>
    <t>Facteurs non significatifs</t>
  </si>
  <si>
    <t>SCE(ER)</t>
  </si>
  <si>
    <t>Le modèle est valide</t>
  </si>
  <si>
    <t>Yij-Ymoy</t>
  </si>
  <si>
    <t>(Yij-Ymoy)²</t>
  </si>
  <si>
    <t>Nb essais</t>
  </si>
  <si>
    <t>N total</t>
  </si>
  <si>
    <t>B : Eau (2 niveaux : 150 ; 200))</t>
  </si>
  <si>
    <t>A : Sable (2 niveaux : 920 ; 1000)</t>
  </si>
  <si>
    <t>C : Gravillon (2 niveaux : 650 ;  900)</t>
  </si>
  <si>
    <t>Réponse : Indice de résistance du béton après 28 jours</t>
  </si>
  <si>
    <r>
      <t>E</t>
    </r>
    <r>
      <rPr>
        <b/>
        <vertAlign val="subscript"/>
        <sz val="11"/>
        <rFont val="Calibri"/>
        <family val="2"/>
        <scheme val="minor"/>
      </rPr>
      <t>Q(+1)</t>
    </r>
  </si>
  <si>
    <t>1/ Calculer l'ensemble des effets et des interactions</t>
  </si>
  <si>
    <t>2/ Estimer la réponse avec A au niveau bas, B au niveau bas et C au niveau haut. Est-ce une valeur cohérente avec l’essai correspondant ?</t>
  </si>
  <si>
    <t>On trouve alors :</t>
  </si>
  <si>
    <t>y^=</t>
  </si>
  <si>
    <t>Moyenne générale</t>
  </si>
  <si>
    <t>Résultat d'essai y=</t>
  </si>
  <si>
    <t>Qu'est-ce qui justifie cet écart ?</t>
  </si>
  <si>
    <t>Non prises en compte des interactions qui doivent être significatives.</t>
  </si>
  <si>
    <t>3/ Déterminer les paramètres significatifs et en déduire le modèle.</t>
  </si>
  <si>
    <t>Réalisation de l'ANAVAR</t>
  </si>
  <si>
    <t>Nb répétition</t>
  </si>
  <si>
    <t>Calcul du SCE</t>
  </si>
  <si>
    <t>3/ Vérifier la validité du modèle.</t>
  </si>
  <si>
    <t>4/ Déterminer la configuration optimale</t>
  </si>
  <si>
    <t>On cherche à maximiser l'indice de résistance du béton</t>
  </si>
  <si>
    <t>Mesures</t>
  </si>
  <si>
    <t>Y1</t>
  </si>
  <si>
    <t>Y2</t>
  </si>
  <si>
    <t>Moyenne</t>
  </si>
  <si>
    <r>
      <t>F</t>
    </r>
    <r>
      <rPr>
        <vertAlign val="subscript"/>
        <sz val="11"/>
        <color theme="1"/>
        <rFont val="Calibri"/>
        <family val="2"/>
        <scheme val="minor"/>
      </rPr>
      <t>0,95</t>
    </r>
    <r>
      <rPr>
        <sz val="11"/>
        <color theme="1"/>
        <rFont val="Calibri"/>
        <family val="2"/>
        <scheme val="minor"/>
      </rPr>
      <t>(2,8)</t>
    </r>
  </si>
  <si>
    <t>Exercice : Etude de l'humidité finale d'un biscuit</t>
  </si>
  <si>
    <t>Réponse : Taux d'humidité finale</t>
  </si>
  <si>
    <t>Paramètres internes</t>
  </si>
  <si>
    <t>A  : Puissance du four micro-onde (4 niveaux)</t>
  </si>
  <si>
    <t>B : Puissance infrarouge (2 niveaux)</t>
  </si>
  <si>
    <t>C : Durée d'exposition (2 niveaux)</t>
  </si>
  <si>
    <t>Paramètre externe (Facteur bruit)</t>
  </si>
  <si>
    <t>F : humidité ( 4 niveaux)</t>
  </si>
  <si>
    <t>Table d'essai : plan croisé L8 x L4 à 32 essais</t>
  </si>
  <si>
    <t>Tableau L8</t>
  </si>
  <si>
    <t>Ratio S/B</t>
  </si>
  <si>
    <t>Moyenne totale</t>
  </si>
  <si>
    <t>Exercice : Etude de la résistance d'un béton autoplaçant</t>
  </si>
  <si>
    <t>1/ Compléter le tableau ci-dessous</t>
  </si>
  <si>
    <t>2/ Étudier la robustesse du processus de séchage par micro-onde vis-à-vis de l’humidité initiale du biscuit. En déduire le réglage robuste.</t>
  </si>
  <si>
    <t>Moyenne  rép niv 1</t>
  </si>
  <si>
    <t>Moyenne  rép niv 2</t>
  </si>
  <si>
    <t>Moyenne  rép niv 3</t>
  </si>
  <si>
    <t>Moyenne  rép niv 4</t>
  </si>
  <si>
    <t>Effet moyen niv 1</t>
  </si>
  <si>
    <t>Effet moyen niv 2</t>
  </si>
  <si>
    <t>Effet moyen niv 3</t>
  </si>
  <si>
    <t>Effet moyen niv 4</t>
  </si>
  <si>
    <r>
      <t>F</t>
    </r>
    <r>
      <rPr>
        <vertAlign val="subscript"/>
        <sz val="11"/>
        <color theme="1"/>
        <rFont val="Calibri"/>
        <family val="2"/>
        <scheme val="minor"/>
      </rPr>
      <t>0,95</t>
    </r>
    <r>
      <rPr>
        <sz val="11"/>
        <color theme="1"/>
        <rFont val="Calibri"/>
        <family val="2"/>
        <scheme val="minor"/>
      </rPr>
      <t>(ddl Q, ddl R)</t>
    </r>
  </si>
  <si>
    <t>Résidu</t>
  </si>
  <si>
    <t>N</t>
  </si>
  <si>
    <t>Yij-Ybar</t>
  </si>
  <si>
    <t>(Yij-Ybar)^2</t>
  </si>
  <si>
    <t>nA</t>
  </si>
  <si>
    <t>nB</t>
  </si>
  <si>
    <t>nC</t>
  </si>
  <si>
    <t>Réglage robuste qui maximise le ratio S/B :</t>
  </si>
  <si>
    <t>A : Puissance du four (niv2)</t>
  </si>
  <si>
    <t>B : Puissance infrarouge (niv1)</t>
  </si>
  <si>
    <t>C : Durée d'exposition (niv2)</t>
  </si>
  <si>
    <t>2/ Analyser les résultats de ce plan en utilisant l’analyse de variance régulière. En déduire le réglage optimal.</t>
  </si>
  <si>
    <t>N° essais</t>
  </si>
  <si>
    <t>Réponse</t>
  </si>
  <si>
    <t>Table des intéractions</t>
  </si>
  <si>
    <t>AF</t>
  </si>
  <si>
    <t>F1</t>
  </si>
  <si>
    <t>F2</t>
  </si>
  <si>
    <t>F3</t>
  </si>
  <si>
    <t>F4</t>
  </si>
  <si>
    <t>A1</t>
  </si>
  <si>
    <t>A2</t>
  </si>
  <si>
    <t>A3</t>
  </si>
  <si>
    <t>A4</t>
  </si>
  <si>
    <t>BF</t>
  </si>
  <si>
    <t>B1</t>
  </si>
  <si>
    <t>B2</t>
  </si>
  <si>
    <t>CF</t>
  </si>
  <si>
    <t>C1</t>
  </si>
  <si>
    <t>C2</t>
  </si>
  <si>
    <t>ANAVAR</t>
  </si>
  <si>
    <t>yij-ybar</t>
  </si>
  <si>
    <t>(yij-ybar)^2</t>
  </si>
  <si>
    <t>nF</t>
  </si>
  <si>
    <t>Réglage optimal qui minimise le taux d'humidité :</t>
  </si>
  <si>
    <t>3/Comparer ces deux résultats, que pouvez-vous en dire ?</t>
  </si>
  <si>
    <t xml:space="preserve">Rappel : </t>
  </si>
  <si>
    <t>Le réglage robuste et le réglage optimal sont identiques.</t>
  </si>
  <si>
    <t>variance</t>
  </si>
  <si>
    <t>Moyenne du ratio S/B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</si>
</sst>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color rgb="FF339966"/>
      <name val="Calibri"/>
      <family val="2"/>
      <scheme val="minor"/>
    </font>
    <font>
      <sz val="11"/>
      <color rgb="FF339966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color theme="4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12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/>
    <xf numFmtId="1" fontId="5" fillId="0" borderId="1" xfId="0" applyNumberFormat="1" applyFont="1" applyBorder="1"/>
    <xf numFmtId="0" fontId="9" fillId="0" borderId="1" xfId="0" applyFont="1" applyBorder="1"/>
    <xf numFmtId="2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5" fillId="0" borderId="1" xfId="0" applyFont="1" applyBorder="1"/>
    <xf numFmtId="2" fontId="9" fillId="0" borderId="1" xfId="0" applyNumberFormat="1" applyFont="1" applyBorder="1"/>
    <xf numFmtId="2" fontId="5" fillId="0" borderId="1" xfId="0" applyNumberFormat="1" applyFont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/>
    <xf numFmtId="0" fontId="0" fillId="0" borderId="12" xfId="0" applyBorder="1"/>
    <xf numFmtId="0" fontId="0" fillId="0" borderId="12" xfId="0" applyBorder="1" applyAlignment="1">
      <alignment horizontal="center"/>
    </xf>
    <xf numFmtId="0" fontId="12" fillId="0" borderId="12" xfId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/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2" fontId="0" fillId="0" borderId="0" xfId="0" applyNumberFormat="1"/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2" fontId="13" fillId="0" borderId="1" xfId="0" applyNumberFormat="1" applyFont="1" applyBorder="1"/>
    <xf numFmtId="0" fontId="12" fillId="0" borderId="1" xfId="1" applyBorder="1" applyAlignment="1">
      <alignment horizontal="center"/>
    </xf>
    <xf numFmtId="2" fontId="13" fillId="0" borderId="1" xfId="0" applyNumberFormat="1" applyFont="1" applyBorder="1" applyAlignment="1">
      <alignment horizontal="center" vertical="center"/>
    </xf>
    <xf numFmtId="0" fontId="13" fillId="0" borderId="0" xfId="0" applyFont="1"/>
    <xf numFmtId="166" fontId="13" fillId="0" borderId="0" xfId="0" applyNumberFormat="1" applyFont="1"/>
    <xf numFmtId="0" fontId="0" fillId="4" borderId="0" xfId="0" applyFill="1" applyAlignment="1">
      <alignment horizontal="center"/>
    </xf>
    <xf numFmtId="166" fontId="13" fillId="4" borderId="0" xfId="0" applyNumberFormat="1" applyFont="1" applyFill="1"/>
    <xf numFmtId="0" fontId="13" fillId="4" borderId="0" xfId="0" applyFont="1" applyFill="1"/>
    <xf numFmtId="2" fontId="13" fillId="4" borderId="0" xfId="0" applyNumberFormat="1" applyFont="1" applyFill="1"/>
    <xf numFmtId="0" fontId="17" fillId="0" borderId="12" xfId="1" applyFont="1" applyBorder="1" applyAlignment="1">
      <alignment horizontal="center"/>
    </xf>
    <xf numFmtId="2" fontId="18" fillId="0" borderId="12" xfId="1" applyNumberFormat="1" applyFont="1" applyBorder="1" applyAlignment="1">
      <alignment horizontal="center"/>
    </xf>
    <xf numFmtId="0" fontId="12" fillId="0" borderId="0" xfId="1"/>
    <xf numFmtId="0" fontId="12" fillId="0" borderId="0" xfId="1" applyAlignment="1">
      <alignment horizontal="center"/>
    </xf>
    <xf numFmtId="0" fontId="17" fillId="0" borderId="0" xfId="1" applyFont="1" applyAlignment="1">
      <alignment horizontal="center"/>
    </xf>
    <xf numFmtId="2" fontId="18" fillId="0" borderId="0" xfId="1" applyNumberFormat="1" applyFon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 vertical="center" wrapText="1"/>
    </xf>
    <xf numFmtId="165" fontId="5" fillId="0" borderId="1" xfId="0" applyNumberFormat="1" applyFont="1" applyBorder="1"/>
    <xf numFmtId="164" fontId="13" fillId="4" borderId="0" xfId="0" applyNumberFormat="1" applyFont="1" applyFill="1"/>
    <xf numFmtId="2" fontId="13" fillId="5" borderId="0" xfId="0" applyNumberFormat="1" applyFont="1" applyFill="1"/>
    <xf numFmtId="0" fontId="12" fillId="5" borderId="12" xfId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12" fillId="7" borderId="12" xfId="1" applyFill="1" applyBorder="1" applyAlignment="1">
      <alignment horizontal="center"/>
    </xf>
    <xf numFmtId="0" fontId="12" fillId="8" borderId="12" xfId="1" applyFill="1" applyBorder="1" applyAlignment="1">
      <alignment horizontal="center"/>
    </xf>
    <xf numFmtId="0" fontId="12" fillId="9" borderId="12" xfId="1" applyFill="1" applyBorder="1" applyAlignment="1">
      <alignment horizontal="center"/>
    </xf>
    <xf numFmtId="166" fontId="13" fillId="5" borderId="0" xfId="0" applyNumberFormat="1" applyFont="1" applyFill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" fontId="0" fillId="0" borderId="4" xfId="0" applyNumberFormat="1" applyBorder="1" applyAlignment="1">
      <alignment horizontal="right" vertical="center"/>
    </xf>
    <xf numFmtId="1" fontId="0" fillId="0" borderId="9" xfId="0" applyNumberFormat="1" applyBorder="1" applyAlignment="1">
      <alignment horizontal="right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/>
    </xf>
    <xf numFmtId="0" fontId="0" fillId="3" borderId="2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318B1F9-2C18-455B-BF4D-FAAA0E1B9155}"/>
  </cellStyles>
  <dxfs count="0"/>
  <tableStyles count="0" defaultTableStyle="TableStyleMedium2" defaultPivotStyle="PivotStyleLight16"/>
  <colors>
    <mruColors>
      <color rgb="FF339966"/>
      <color rgb="FF74D2A3"/>
      <color rgb="FF43C1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Effet moyen des facteurs et intéractions</a:t>
            </a:r>
            <a:r>
              <a:rPr lang="fr-FR" baseline="0"/>
              <a:t> significatifs</a:t>
            </a:r>
            <a:endParaRPr lang="fr-F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'Exercice 1'!$B$10</c:f>
              <c:strCache>
                <c:ptCount val="1"/>
                <c:pt idx="0">
                  <c:v>A</c:v>
                </c:pt>
              </c:strCache>
            </c:strRef>
          </c:tx>
          <c:cat>
            <c:strRef>
              <c:f>'Exercice 1'!$A$20:$A$21</c:f>
              <c:strCache>
                <c:ptCount val="2"/>
                <c:pt idx="0">
                  <c:v>EQ(+1)</c:v>
                </c:pt>
                <c:pt idx="1">
                  <c:v>EQ(-1)</c:v>
                </c:pt>
              </c:strCache>
            </c:strRef>
          </c:cat>
          <c:val>
            <c:numRef>
              <c:f>'Exercice 1'!$B$20:$B$21</c:f>
              <c:numCache>
                <c:formatCode>0.00</c:formatCode>
                <c:ptCount val="2"/>
                <c:pt idx="0">
                  <c:v>5.125</c:v>
                </c:pt>
                <c:pt idx="1">
                  <c:v>-5.125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7-402E-8767-078B3711033A}"/>
            </c:ext>
          </c:extLst>
        </c:ser>
        <c:ser>
          <c:idx val="1"/>
          <c:order val="1"/>
          <c:tx>
            <c:strRef>
              <c:f>'Exercice 1'!$C$10</c:f>
              <c:strCache>
                <c:ptCount val="1"/>
                <c:pt idx="0">
                  <c:v>B</c:v>
                </c:pt>
              </c:strCache>
            </c:strRef>
          </c:tx>
          <c:cat>
            <c:strRef>
              <c:f>'Exercice 1'!$A$20:$A$21</c:f>
              <c:strCache>
                <c:ptCount val="2"/>
                <c:pt idx="0">
                  <c:v>EQ(+1)</c:v>
                </c:pt>
                <c:pt idx="1">
                  <c:v>EQ(-1)</c:v>
                </c:pt>
              </c:strCache>
            </c:strRef>
          </c:cat>
          <c:val>
            <c:numRef>
              <c:f>'Exercice 1'!$C$20:$C$21</c:f>
              <c:numCache>
                <c:formatCode>0.00</c:formatCode>
                <c:ptCount val="2"/>
                <c:pt idx="0">
                  <c:v>15</c:v>
                </c:pt>
                <c:pt idx="1">
                  <c:v>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87-402E-8767-078B3711033A}"/>
            </c:ext>
          </c:extLst>
        </c:ser>
        <c:ser>
          <c:idx val="2"/>
          <c:order val="2"/>
          <c:tx>
            <c:strRef>
              <c:f>'Exercice 1'!$D$10</c:f>
              <c:strCache>
                <c:ptCount val="1"/>
                <c:pt idx="0">
                  <c:v>AB</c:v>
                </c:pt>
              </c:strCache>
            </c:strRef>
          </c:tx>
          <c:cat>
            <c:strRef>
              <c:f>'Exercice 1'!$A$20:$A$21</c:f>
              <c:strCache>
                <c:ptCount val="2"/>
                <c:pt idx="0">
                  <c:v>EQ(+1)</c:v>
                </c:pt>
                <c:pt idx="1">
                  <c:v>EQ(-1)</c:v>
                </c:pt>
              </c:strCache>
            </c:strRef>
          </c:cat>
          <c:val>
            <c:numRef>
              <c:f>'Exercice 1'!$D$20:$D$21</c:f>
              <c:numCache>
                <c:formatCode>0.00</c:formatCode>
                <c:ptCount val="2"/>
                <c:pt idx="0">
                  <c:v>9.875</c:v>
                </c:pt>
                <c:pt idx="1">
                  <c:v>-9.875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87-402E-8767-078B3711033A}"/>
            </c:ext>
          </c:extLst>
        </c:ser>
        <c:ser>
          <c:idx val="3"/>
          <c:order val="3"/>
          <c:tx>
            <c:strRef>
              <c:f>'Exercice 1'!$E$10</c:f>
              <c:strCache>
                <c:ptCount val="1"/>
                <c:pt idx="0">
                  <c:v>C</c:v>
                </c:pt>
              </c:strCache>
            </c:strRef>
          </c:tx>
          <c:cat>
            <c:strRef>
              <c:f>'Exercice 1'!$A$20:$A$21</c:f>
              <c:strCache>
                <c:ptCount val="2"/>
                <c:pt idx="0">
                  <c:v>EQ(+1)</c:v>
                </c:pt>
                <c:pt idx="1">
                  <c:v>EQ(-1)</c:v>
                </c:pt>
              </c:strCache>
            </c:strRef>
          </c:cat>
          <c:val>
            <c:numRef>
              <c:f>'Exercice 1'!$E$20:$E$21</c:f>
              <c:numCache>
                <c:formatCode>0.00</c:formatCode>
                <c:ptCount val="2"/>
                <c:pt idx="0">
                  <c:v>10</c:v>
                </c:pt>
                <c:pt idx="1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87-402E-8767-078B3711033A}"/>
            </c:ext>
          </c:extLst>
        </c:ser>
        <c:ser>
          <c:idx val="4"/>
          <c:order val="4"/>
          <c:tx>
            <c:strRef>
              <c:f>'Exercice 1'!$F$10</c:f>
              <c:strCache>
                <c:ptCount val="1"/>
                <c:pt idx="0">
                  <c:v>AC</c:v>
                </c:pt>
              </c:strCache>
            </c:strRef>
          </c:tx>
          <c:cat>
            <c:strRef>
              <c:f>'Exercice 1'!$A$20:$A$21</c:f>
              <c:strCache>
                <c:ptCount val="2"/>
                <c:pt idx="0">
                  <c:v>EQ(+1)</c:v>
                </c:pt>
                <c:pt idx="1">
                  <c:v>EQ(-1)</c:v>
                </c:pt>
              </c:strCache>
            </c:strRef>
          </c:cat>
          <c:val>
            <c:numRef>
              <c:f>'Exercice 1'!$F$20:$F$21</c:f>
              <c:numCache>
                <c:formatCode>0.00</c:formatCode>
                <c:ptCount val="2"/>
                <c:pt idx="0">
                  <c:v>-2.125</c:v>
                </c:pt>
                <c:pt idx="1">
                  <c:v>2.125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87-402E-8767-078B3711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18624"/>
        <c:axId val="75424512"/>
      </c:lineChart>
      <c:catAx>
        <c:axId val="7541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75424512"/>
        <c:crosses val="autoZero"/>
        <c:auto val="1"/>
        <c:lblAlgn val="ctr"/>
        <c:lblOffset val="100"/>
        <c:noMultiLvlLbl val="0"/>
      </c:catAx>
      <c:valAx>
        <c:axId val="7542451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crossAx val="7541862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Graphe</a:t>
            </a:r>
            <a:r>
              <a:rPr lang="fr-FR" baseline="0"/>
              <a:t> des effets de l'intéraction BF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'Exercice 2'!$K$95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'Exercice 2'!$L$94:$O$94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2'!$L$95:$O$95</c:f>
              <c:numCache>
                <c:formatCode>0.00</c:formatCode>
                <c:ptCount val="4"/>
                <c:pt idx="0">
                  <c:v>9.375E-2</c:v>
                </c:pt>
                <c:pt idx="1">
                  <c:v>0.16999999999999948</c:v>
                </c:pt>
                <c:pt idx="2">
                  <c:v>8.2500000000000462E-2</c:v>
                </c:pt>
                <c:pt idx="3">
                  <c:v>-0.34625000000000039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E-46DB-8554-87916D46B5CB}"/>
            </c:ext>
          </c:extLst>
        </c:ser>
        <c:ser>
          <c:idx val="1"/>
          <c:order val="1"/>
          <c:tx>
            <c:strRef>
              <c:f>'Exercice 2'!$K$96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'Exercice 2'!$L$94:$O$94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2'!$L$96:$O$96</c:f>
              <c:numCache>
                <c:formatCode>0.00</c:formatCode>
                <c:ptCount val="4"/>
                <c:pt idx="0">
                  <c:v>-9.3750000000000888E-2</c:v>
                </c:pt>
                <c:pt idx="1">
                  <c:v>-0.17000000000000082</c:v>
                </c:pt>
                <c:pt idx="2">
                  <c:v>-8.2500000000000462E-2</c:v>
                </c:pt>
                <c:pt idx="3">
                  <c:v>0.34624999999999861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E-46DB-8554-87916D46B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873039"/>
        <c:axId val="1488715263"/>
      </c:lineChart>
      <c:catAx>
        <c:axId val="148987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8715263"/>
        <c:crosses val="autoZero"/>
        <c:auto val="1"/>
        <c:lblAlgn val="ctr"/>
        <c:lblOffset val="100"/>
        <c:noMultiLvlLbl val="0"/>
      </c:catAx>
      <c:valAx>
        <c:axId val="1488715263"/>
        <c:scaling>
          <c:orientation val="minMax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987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Graphe des effets de l'intéraction AF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'Exercice 2'!$K$89</c:f>
              <c:strCache>
                <c:ptCount val="1"/>
                <c:pt idx="0">
                  <c:v>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'Exercice 2'!$L$88:$O$88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2'!$L$89:$O$89</c:f>
              <c:numCache>
                <c:formatCode>0.00</c:formatCode>
                <c:ptCount val="4"/>
                <c:pt idx="0">
                  <c:v>-0.25562500000000021</c:v>
                </c:pt>
                <c:pt idx="1">
                  <c:v>-0.19437499999999996</c:v>
                </c:pt>
                <c:pt idx="2">
                  <c:v>0.38062500000000021</c:v>
                </c:pt>
                <c:pt idx="3">
                  <c:v>6.9374999999999076E-2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D-43BC-B093-011B59C511FD}"/>
            </c:ext>
          </c:extLst>
        </c:ser>
        <c:ser>
          <c:idx val="1"/>
          <c:order val="1"/>
          <c:tx>
            <c:strRef>
              <c:f>'Exercice 2'!$K$90</c:f>
              <c:strCache>
                <c:ptCount val="1"/>
                <c:pt idx="0">
                  <c:v>A2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'Exercice 2'!$L$88:$O$88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2'!$L$90:$O$90</c:f>
              <c:numCache>
                <c:formatCode>0.00</c:formatCode>
                <c:ptCount val="4"/>
                <c:pt idx="0">
                  <c:v>0.2018749999999998</c:v>
                </c:pt>
                <c:pt idx="1">
                  <c:v>2.3124999999998952E-2</c:v>
                </c:pt>
                <c:pt idx="2">
                  <c:v>-0.66187499999999977</c:v>
                </c:pt>
                <c:pt idx="3">
                  <c:v>0.43687499999999924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D-43BC-B093-011B59C511FD}"/>
            </c:ext>
          </c:extLst>
        </c:ser>
        <c:ser>
          <c:idx val="2"/>
          <c:order val="2"/>
          <c:tx>
            <c:strRef>
              <c:f>'Exercice 2'!$K$91</c:f>
              <c:strCache>
                <c:ptCount val="1"/>
                <c:pt idx="0">
                  <c:v>A3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'Exercice 2'!$L$88:$O$88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2'!$L$91:$O$91</c:f>
              <c:numCache>
                <c:formatCode>0.00</c:formatCode>
                <c:ptCount val="4"/>
                <c:pt idx="0">
                  <c:v>-0.14312500000000039</c:v>
                </c:pt>
                <c:pt idx="1">
                  <c:v>0.16312499999999908</c:v>
                </c:pt>
                <c:pt idx="2">
                  <c:v>0.27312500000000028</c:v>
                </c:pt>
                <c:pt idx="3">
                  <c:v>-0.29312500000000119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D-43BC-B093-011B59C511FD}"/>
            </c:ext>
          </c:extLst>
        </c:ser>
        <c:ser>
          <c:idx val="3"/>
          <c:order val="3"/>
          <c:tx>
            <c:strRef>
              <c:f>'Exercice 2'!$K$92</c:f>
              <c:strCache>
                <c:ptCount val="1"/>
                <c:pt idx="0">
                  <c:v>A4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'Exercice 2'!$L$88:$O$88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2'!$L$92:$O$92</c:f>
              <c:numCache>
                <c:formatCode>0.00</c:formatCode>
                <c:ptCount val="4"/>
                <c:pt idx="0">
                  <c:v>0.19687499999999991</c:v>
                </c:pt>
                <c:pt idx="1">
                  <c:v>8.1249999999997158E-3</c:v>
                </c:pt>
                <c:pt idx="2">
                  <c:v>8.1250000000001599E-3</c:v>
                </c:pt>
                <c:pt idx="3">
                  <c:v>-0.21312500000000068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6D-43BC-B093-011B59C51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874239"/>
        <c:axId val="1483647295"/>
      </c:lineChart>
      <c:catAx>
        <c:axId val="148987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3647295"/>
        <c:crosses val="autoZero"/>
        <c:auto val="1"/>
        <c:lblAlgn val="ctr"/>
        <c:lblOffset val="100"/>
        <c:noMultiLvlLbl val="0"/>
      </c:catAx>
      <c:valAx>
        <c:axId val="14836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987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Graphe des effets de l'interaction 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'Exercice 2'!$K$99</c:f>
              <c:strCache>
                <c:ptCount val="1"/>
                <c:pt idx="0">
                  <c:v>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'Exercice 2'!$L$98:$O$98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2'!$L$99:$O$99</c:f>
              <c:numCache>
                <c:formatCode>0.00</c:formatCode>
                <c:ptCount val="4"/>
                <c:pt idx="0">
                  <c:v>-1.1249999999999982E-2</c:v>
                </c:pt>
                <c:pt idx="1">
                  <c:v>0.1324999999999994</c:v>
                </c:pt>
                <c:pt idx="2">
                  <c:v>-0.20749999999999957</c:v>
                </c:pt>
                <c:pt idx="3">
                  <c:v>8.6249999999999716E-2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A-468C-8102-54CBA61F2B83}"/>
            </c:ext>
          </c:extLst>
        </c:ser>
        <c:ser>
          <c:idx val="1"/>
          <c:order val="1"/>
          <c:tx>
            <c:strRef>
              <c:f>'Exercice 2'!$K$100</c:f>
              <c:strCache>
                <c:ptCount val="1"/>
                <c:pt idx="0">
                  <c:v>C2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'Exercice 2'!$L$98:$O$98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</c:strCache>
            </c:strRef>
          </c:cat>
          <c:val>
            <c:numRef>
              <c:f>'Exercice 2'!$L$100:$O$100</c:f>
              <c:numCache>
                <c:formatCode>0.00</c:formatCode>
                <c:ptCount val="4"/>
                <c:pt idx="0">
                  <c:v>1.1249999999999538E-2</c:v>
                </c:pt>
                <c:pt idx="1">
                  <c:v>-0.13250000000000073</c:v>
                </c:pt>
                <c:pt idx="2">
                  <c:v>0.20749999999999957</c:v>
                </c:pt>
                <c:pt idx="3">
                  <c:v>-8.6250000000001048E-2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A-468C-8102-54CBA61F2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867039"/>
        <c:axId val="1382538527"/>
      </c:lineChart>
      <c:catAx>
        <c:axId val="148986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2538527"/>
        <c:crosses val="autoZero"/>
        <c:auto val="1"/>
        <c:lblAlgn val="ctr"/>
        <c:lblOffset val="100"/>
        <c:noMultiLvlLbl val="0"/>
      </c:catAx>
      <c:valAx>
        <c:axId val="1382538527"/>
        <c:scaling>
          <c:orientation val="minMax"/>
          <c:max val="0.60000000000000009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986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180974</xdr:colOff>
      <xdr:row>26</xdr:row>
      <xdr:rowOff>161925</xdr:rowOff>
    </xdr:from>
    <xdr:ext cx="2974976" cy="250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9B47403A-7126-428E-9A49-E0810ED7FF63}"/>
                </a:ext>
              </a:extLst>
            </xdr:cNvPr>
            <xdr:cNvSpPr txBox="1"/>
          </xdr:nvSpPr>
          <xdr:spPr>
            <a:xfrm>
              <a:off x="180974" y="4867275"/>
              <a:ext cx="2974976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fr-FR" sz="16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fr-FR" sz="1600" b="0" i="1">
                        <a:latin typeface="Cambria Math" panose="02040503050406030204" pitchFamily="18" charset="0"/>
                      </a:rPr>
                      <m:t>= </m:t>
                    </m:r>
                    <m:acc>
                      <m:accPr>
                        <m:chr m:val="̿"/>
                        <m:ctrlPr>
                          <a:rPr lang="fr-FR" sz="16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fr-FR" sz="16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fr-F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−</m:t>
                        </m:r>
                      </m:sub>
                    </m:sSub>
                    <m:r>
                      <a:rPr lang="fr-F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𝐵</m:t>
                        </m:r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−</m:t>
                        </m:r>
                      </m:sub>
                    </m:sSub>
                    <m:r>
                      <a:rPr lang="fr-F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fr-F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fr-FR" sz="1600" b="0" i="1">
                            <a:latin typeface="Cambria Math" panose="02040503050406030204" pitchFamily="18" charset="0"/>
                          </a:rPr>
                          <m:t>+</m:t>
                        </m:r>
                      </m:sub>
                    </m:sSub>
                  </m:oMath>
                </m:oMathPara>
              </a14:m>
              <a:endParaRPr lang="fr-FR" sz="16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9B47403A-7126-428E-9A49-E0810ED7FF63}"/>
                </a:ext>
              </a:extLst>
            </xdr:cNvPr>
            <xdr:cNvSpPr txBox="1"/>
          </xdr:nvSpPr>
          <xdr:spPr>
            <a:xfrm>
              <a:off x="180974" y="4867275"/>
              <a:ext cx="2974976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fr-FR" sz="1600" b="0" i="0">
                  <a:latin typeface="Cambria Math" panose="02040503050406030204" pitchFamily="18" charset="0"/>
                </a:rPr>
                <a:t>𝑦 ̂= 𝑦 ̿+ 𝐸_(𝐴−)+𝐸_(𝐵−)+𝐸_(𝐶+)</a:t>
              </a:r>
              <a:endParaRPr lang="fr-FR" sz="1600"/>
            </a:p>
          </xdr:txBody>
        </xdr:sp>
      </mc:Fallback>
    </mc:AlternateContent>
    <xdr:clientData/>
  </xdr:oneCellAnchor>
  <xdr:twoCellAnchor editAs="oneCell">
    <xdr:from>
      <xdr:col>11</xdr:col>
      <xdr:colOff>146049</xdr:colOff>
      <xdr:row>47</xdr:row>
      <xdr:rowOff>130696</xdr:rowOff>
    </xdr:from>
    <xdr:to>
      <xdr:col>19</xdr:col>
      <xdr:colOff>336508</xdr:colOff>
      <xdr:row>65</xdr:row>
      <xdr:rowOff>63500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6DF55C9-862B-40AD-A854-B3F9E98AB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9949" y="8931796"/>
          <a:ext cx="6289634" cy="3466579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72</xdr:row>
      <xdr:rowOff>57150</xdr:rowOff>
    </xdr:from>
    <xdr:to>
      <xdr:col>9</xdr:col>
      <xdr:colOff>473075</xdr:colOff>
      <xdr:row>94</xdr:row>
      <xdr:rowOff>92075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C58E248-DD7A-4777-A108-0321EB5C3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647701</xdr:colOff>
      <xdr:row>74</xdr:row>
      <xdr:rowOff>152400</xdr:rowOff>
    </xdr:from>
    <xdr:to>
      <xdr:col>13</xdr:col>
      <xdr:colOff>1</xdr:colOff>
      <xdr:row>78</xdr:row>
      <xdr:rowOff>98424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7AB8C3B-8196-4E78-8C0C-FC5777EF5729}"/>
            </a:ext>
          </a:extLst>
        </xdr:cNvPr>
        <xdr:cNvSpPr/>
      </xdr:nvSpPr>
      <xdr:spPr>
        <a:xfrm>
          <a:off x="4927601" y="14141450"/>
          <a:ext cx="2400300" cy="682624"/>
        </a:xfrm>
        <a:prstGeom prst="rect">
          <a:avLst/>
        </a:prstGeom>
        <a:solidFill>
          <a:schemeClr val="bg1"/>
        </a:solidFill>
        <a:ln w="508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sz="1600">
              <a:solidFill>
                <a:schemeClr val="tx1"/>
              </a:solidFill>
            </a:rPr>
            <a:t>Choisir</a:t>
          </a:r>
          <a:r>
            <a:rPr lang="fr-FR" sz="1600" baseline="0">
              <a:solidFill>
                <a:schemeClr val="tx1"/>
              </a:solidFill>
            </a:rPr>
            <a:t> A</a:t>
          </a:r>
          <a:r>
            <a:rPr lang="fr-FR" sz="1600">
              <a:solidFill>
                <a:schemeClr val="tx1"/>
              </a:solidFill>
            </a:rPr>
            <a:t> </a:t>
          </a:r>
          <a:r>
            <a:rPr lang="fr-FR" sz="1600" baseline="0">
              <a:solidFill>
                <a:schemeClr val="tx1"/>
              </a:solidFill>
            </a:rPr>
            <a:t>au niveau </a:t>
          </a:r>
          <a:r>
            <a:rPr lang="fr-FR" sz="1600">
              <a:solidFill>
                <a:schemeClr val="tx1"/>
              </a:solidFill>
            </a:rPr>
            <a:t>+1</a:t>
          </a:r>
        </a:p>
        <a:p>
          <a:pPr algn="l"/>
          <a:r>
            <a:rPr lang="fr-FR" sz="1600">
              <a:solidFill>
                <a:schemeClr val="tx1"/>
              </a:solidFill>
            </a:rPr>
            <a:t>Sable </a:t>
          </a:r>
          <a:r>
            <a:rPr lang="fr-FR" sz="1600" baseline="0">
              <a:solidFill>
                <a:schemeClr val="tx1"/>
              </a:solidFill>
            </a:rPr>
            <a:t>= 1000kg/m</a:t>
          </a:r>
          <a:r>
            <a:rPr lang="fr-FR" sz="1600" baseline="300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657225</xdr:colOff>
      <xdr:row>79</xdr:row>
      <xdr:rowOff>177800</xdr:rowOff>
    </xdr:from>
    <xdr:to>
      <xdr:col>13</xdr:col>
      <xdr:colOff>0</xdr:colOff>
      <xdr:row>83</xdr:row>
      <xdr:rowOff>123824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D7E704E-EB2D-4C97-8F76-1D6FD556F5C5}"/>
            </a:ext>
          </a:extLst>
        </xdr:cNvPr>
        <xdr:cNvSpPr/>
      </xdr:nvSpPr>
      <xdr:spPr>
        <a:xfrm>
          <a:off x="4937125" y="15087600"/>
          <a:ext cx="2390775" cy="682624"/>
        </a:xfrm>
        <a:prstGeom prst="rect">
          <a:avLst/>
        </a:prstGeom>
        <a:solidFill>
          <a:schemeClr val="bg1"/>
        </a:solidFill>
        <a:ln w="508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sz="1600">
              <a:solidFill>
                <a:schemeClr val="tx1"/>
              </a:solidFill>
            </a:rPr>
            <a:t>Choisir</a:t>
          </a:r>
          <a:r>
            <a:rPr lang="fr-FR" sz="1600" baseline="0">
              <a:solidFill>
                <a:schemeClr val="tx1"/>
              </a:solidFill>
            </a:rPr>
            <a:t> B</a:t>
          </a:r>
          <a:r>
            <a:rPr lang="fr-FR" sz="1600">
              <a:solidFill>
                <a:schemeClr val="tx1"/>
              </a:solidFill>
            </a:rPr>
            <a:t> </a:t>
          </a:r>
          <a:r>
            <a:rPr lang="fr-FR" sz="1600" baseline="0">
              <a:solidFill>
                <a:schemeClr val="tx1"/>
              </a:solidFill>
            </a:rPr>
            <a:t>au niveau </a:t>
          </a:r>
          <a:r>
            <a:rPr lang="fr-FR" sz="1600">
              <a:solidFill>
                <a:schemeClr val="tx1"/>
              </a:solidFill>
            </a:rPr>
            <a:t>+1</a:t>
          </a:r>
        </a:p>
        <a:p>
          <a:pPr algn="l"/>
          <a:r>
            <a:rPr lang="fr-FR" sz="1600">
              <a:solidFill>
                <a:schemeClr val="tx1"/>
              </a:solidFill>
            </a:rPr>
            <a:t>Eau </a:t>
          </a:r>
          <a:r>
            <a:rPr lang="fr-FR" sz="1600" baseline="0">
              <a:solidFill>
                <a:schemeClr val="tx1"/>
              </a:solidFill>
            </a:rPr>
            <a:t>= 200kg/m</a:t>
          </a:r>
          <a:r>
            <a:rPr lang="fr-FR" sz="1600" baseline="300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666750</xdr:colOff>
      <xdr:row>85</xdr:row>
      <xdr:rowOff>19050</xdr:rowOff>
    </xdr:from>
    <xdr:to>
      <xdr:col>12</xdr:col>
      <xdr:colOff>749300</xdr:colOff>
      <xdr:row>88</xdr:row>
      <xdr:rowOff>142874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482412-A0BC-4B76-AEA9-8FC3E2C7BA51}"/>
            </a:ext>
          </a:extLst>
        </xdr:cNvPr>
        <xdr:cNvSpPr/>
      </xdr:nvSpPr>
      <xdr:spPr>
        <a:xfrm>
          <a:off x="4946650" y="16033750"/>
          <a:ext cx="2368550" cy="676274"/>
        </a:xfrm>
        <a:prstGeom prst="rect">
          <a:avLst/>
        </a:prstGeom>
        <a:solidFill>
          <a:schemeClr val="bg1"/>
        </a:solidFill>
        <a:ln w="50800">
          <a:solidFill>
            <a:schemeClr val="accent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fr-FR" sz="1600">
              <a:solidFill>
                <a:schemeClr val="tx1"/>
              </a:solidFill>
            </a:rPr>
            <a:t>Choisir</a:t>
          </a:r>
          <a:r>
            <a:rPr lang="fr-FR" sz="1600" baseline="0">
              <a:solidFill>
                <a:schemeClr val="tx1"/>
              </a:solidFill>
            </a:rPr>
            <a:t> C</a:t>
          </a:r>
          <a:r>
            <a:rPr lang="fr-FR" sz="1600">
              <a:solidFill>
                <a:schemeClr val="tx1"/>
              </a:solidFill>
            </a:rPr>
            <a:t> </a:t>
          </a:r>
          <a:r>
            <a:rPr lang="fr-FR" sz="1600" baseline="0">
              <a:solidFill>
                <a:schemeClr val="tx1"/>
              </a:solidFill>
            </a:rPr>
            <a:t>au niveau </a:t>
          </a:r>
          <a:r>
            <a:rPr lang="fr-FR" sz="1600">
              <a:solidFill>
                <a:schemeClr val="tx1"/>
              </a:solidFill>
            </a:rPr>
            <a:t>+1</a:t>
          </a:r>
        </a:p>
        <a:p>
          <a:pPr algn="l"/>
          <a:r>
            <a:rPr lang="fr-FR" sz="1600">
              <a:solidFill>
                <a:schemeClr val="tx1"/>
              </a:solidFill>
            </a:rPr>
            <a:t>Gravillon </a:t>
          </a:r>
          <a:r>
            <a:rPr lang="fr-FR" sz="1600" baseline="0">
              <a:solidFill>
                <a:schemeClr val="tx1"/>
              </a:solidFill>
            </a:rPr>
            <a:t>= 900kg/m</a:t>
          </a:r>
          <a:r>
            <a:rPr lang="fr-FR" sz="1600" baseline="30000">
              <a:solidFill>
                <a:schemeClr val="tx1"/>
              </a:solidFill>
            </a:rPr>
            <a:t>3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0.26429</cdr:x>
      <cdr:y>0.31719</cdr:y>
    </cdr:from>
    <cdr:to>
      <cdr:x>0.37679</cdr:x>
      <cdr:y>0.42079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1207494" y="1274980"/>
          <a:ext cx="513993" cy="41642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50800">
          <a:solidFill>
            <a:schemeClr val="accent4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0.26736</cdr:x>
      <cdr:y>0.42212</cdr:y>
    </cdr:from>
    <cdr:to>
      <cdr:x>0.375</cdr:x>
      <cdr:y>0.51371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1221499" y="1696752"/>
          <a:ext cx="491789" cy="368151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50800">
          <a:solidFill>
            <a:srgbClr val="0070C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0.26706</cdr:x>
      <cdr:y>0.21798</cdr:y>
    </cdr:from>
    <cdr:to>
      <cdr:x>0.38985</cdr:x>
      <cdr:y>0.31182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1220150" y="876199"/>
          <a:ext cx="561025" cy="377195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 w="50800">
          <a:solidFill>
            <a:schemeClr val="accent2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fr-FR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173038</xdr:colOff>
      <xdr:row>124</xdr:row>
      <xdr:rowOff>53730</xdr:rowOff>
    </xdr:from>
    <xdr:to>
      <xdr:col>21</xdr:col>
      <xdr:colOff>68938</xdr:colOff>
      <xdr:row>146</xdr:row>
      <xdr:rowOff>6350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D5BA742B-D0E4-4854-A502-EE6CE10C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6601" y="22731168"/>
          <a:ext cx="7679412" cy="4172195"/>
        </a:xfrm>
        <a:prstGeom prst="rect">
          <a:avLst/>
        </a:prstGeom>
      </xdr:spPr>
    </xdr:pic>
    <xdr:clientData/>
  </xdr:twoCellAnchor>
  <xdr:twoCellAnchor>
    <xdr:from>
      <xdr:col>16</xdr:col>
      <xdr:colOff>358775</xdr:colOff>
      <xdr:row>98</xdr:row>
      <xdr:rowOff>34925</xdr:rowOff>
    </xdr:from>
    <xdr:to>
      <xdr:col>22</xdr:col>
      <xdr:colOff>358775</xdr:colOff>
      <xdr:row>113</xdr:row>
      <xdr:rowOff>15875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BFE45D-9E0E-4A5D-A736-A393554C7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314325</xdr:colOff>
      <xdr:row>81</xdr:row>
      <xdr:rowOff>155575</xdr:rowOff>
    </xdr:from>
    <xdr:to>
      <xdr:col>21</xdr:col>
      <xdr:colOff>314325</xdr:colOff>
      <xdr:row>96</xdr:row>
      <xdr:rowOff>136525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5F54360-3CD7-4F15-BC64-D64BA5F28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409575</xdr:colOff>
      <xdr:row>101</xdr:row>
      <xdr:rowOff>85725</xdr:rowOff>
    </xdr:from>
    <xdr:to>
      <xdr:col>16</xdr:col>
      <xdr:colOff>104775</xdr:colOff>
      <xdr:row>116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34B4230-E1A5-4C51-8890-8DD036283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1"/>
  <sheetViews>
    <sheetView zoomScale="150" zoomScaleNormal="150" workbookViewId="0">
      <selection activeCell="G20" sqref="G20"/>
    </sheetView>
  </sheetViews>
  <sheetFormatPr baseColWidth="10" defaultRowHeight="15" x14ac:dyDescent="0.2"/>
  <cols>
    <col min="1" max="1" width="5.33203125" customWidth="1"/>
    <col min="2" max="2" width="6.6640625" customWidth="1"/>
    <col min="3" max="3" width="6.33203125" bestFit="1" customWidth="1"/>
    <col min="4" max="5" width="6.6640625" customWidth="1"/>
    <col min="6" max="6" width="6.5" customWidth="1"/>
    <col min="7" max="8" width="6.6640625" customWidth="1"/>
    <col min="9" max="9" width="9.33203125" style="1" customWidth="1"/>
  </cols>
  <sheetData>
    <row r="1" spans="1:26" s="37" customFormat="1" ht="16" x14ac:dyDescent="0.2">
      <c r="A1" s="37" t="s">
        <v>67</v>
      </c>
    </row>
    <row r="2" spans="1:26" x14ac:dyDescent="0.2">
      <c r="A2" t="s">
        <v>31</v>
      </c>
    </row>
    <row r="3" spans="1:26" x14ac:dyDescent="0.2">
      <c r="A3" t="s">
        <v>30</v>
      </c>
    </row>
    <row r="4" spans="1:26" x14ac:dyDescent="0.2">
      <c r="A4" t="s">
        <v>32</v>
      </c>
    </row>
    <row r="5" spans="1:26" x14ac:dyDescent="0.2">
      <c r="U5" s="21"/>
      <c r="V5" s="21"/>
      <c r="W5" s="21"/>
      <c r="X5" s="80"/>
      <c r="Y5" s="80"/>
      <c r="Z5" s="98"/>
    </row>
    <row r="6" spans="1:26" x14ac:dyDescent="0.2">
      <c r="A6" t="s">
        <v>33</v>
      </c>
      <c r="U6" s="35"/>
      <c r="V6" s="35"/>
      <c r="W6" s="35"/>
      <c r="X6" s="35"/>
      <c r="Y6" s="35"/>
      <c r="Z6" s="98"/>
    </row>
    <row r="7" spans="1:26" x14ac:dyDescent="0.2">
      <c r="U7" s="1"/>
      <c r="V7" s="1"/>
      <c r="W7" s="1"/>
      <c r="X7" s="36"/>
      <c r="Y7" s="36"/>
      <c r="Z7" s="36"/>
    </row>
    <row r="8" spans="1:26" s="21" customFormat="1" x14ac:dyDescent="0.2">
      <c r="A8" s="21" t="s">
        <v>35</v>
      </c>
      <c r="I8" s="22"/>
      <c r="U8" s="1"/>
      <c r="V8" s="1"/>
      <c r="W8" s="1"/>
      <c r="X8" s="36"/>
      <c r="Y8" s="36"/>
      <c r="Z8" s="36"/>
    </row>
    <row r="9" spans="1:26" s="21" customFormat="1" x14ac:dyDescent="0.2">
      <c r="I9" s="83" t="s">
        <v>50</v>
      </c>
      <c r="J9" s="83"/>
      <c r="K9" s="102" t="s">
        <v>53</v>
      </c>
      <c r="U9" s="1"/>
      <c r="V9" s="1"/>
      <c r="W9" s="1"/>
      <c r="X9" s="36"/>
      <c r="Y9" s="36"/>
      <c r="Z9" s="36"/>
    </row>
    <row r="10" spans="1:26" x14ac:dyDescent="0.2">
      <c r="B10" s="2" t="s">
        <v>0</v>
      </c>
      <c r="C10" s="2" t="s">
        <v>1</v>
      </c>
      <c r="D10" s="14" t="s">
        <v>3</v>
      </c>
      <c r="E10" s="2" t="s">
        <v>2</v>
      </c>
      <c r="F10" s="14" t="s">
        <v>4</v>
      </c>
      <c r="G10" s="14" t="s">
        <v>5</v>
      </c>
      <c r="H10" s="16" t="s">
        <v>6</v>
      </c>
      <c r="I10" s="2" t="s">
        <v>51</v>
      </c>
      <c r="J10" s="2" t="s">
        <v>52</v>
      </c>
      <c r="K10" s="102"/>
      <c r="U10" s="1"/>
      <c r="V10" s="1"/>
      <c r="W10" s="1"/>
      <c r="X10" s="36"/>
      <c r="Y10" s="36"/>
      <c r="Z10" s="36"/>
    </row>
    <row r="11" spans="1:26" x14ac:dyDescent="0.2">
      <c r="A11" s="99" t="s">
        <v>7</v>
      </c>
      <c r="B11" s="12">
        <v>-1</v>
      </c>
      <c r="C11" s="12">
        <v>-1</v>
      </c>
      <c r="D11" s="15">
        <f>B11*C11</f>
        <v>1</v>
      </c>
      <c r="E11" s="12">
        <v>-1</v>
      </c>
      <c r="F11" s="15">
        <f>B11*E11</f>
        <v>1</v>
      </c>
      <c r="G11" s="15">
        <f>C11*E11</f>
        <v>1</v>
      </c>
      <c r="H11" s="17">
        <f>B11*C11*E11</f>
        <v>-1</v>
      </c>
      <c r="I11" s="27">
        <v>19</v>
      </c>
      <c r="J11" s="27">
        <v>22</v>
      </c>
      <c r="K11" s="27">
        <f>AVERAGE(I11:J11)</f>
        <v>20.5</v>
      </c>
      <c r="U11" s="1"/>
      <c r="V11" s="1"/>
      <c r="W11" s="1"/>
      <c r="X11" s="36"/>
      <c r="Y11" s="36"/>
      <c r="Z11" s="36"/>
    </row>
    <row r="12" spans="1:26" x14ac:dyDescent="0.2">
      <c r="A12" s="99"/>
      <c r="B12" s="12">
        <v>1</v>
      </c>
      <c r="C12" s="12">
        <v>-1</v>
      </c>
      <c r="D12" s="15">
        <f>B12*C12</f>
        <v>-1</v>
      </c>
      <c r="E12" s="12">
        <v>-1</v>
      </c>
      <c r="F12" s="15">
        <f t="shared" ref="F12:F18" si="0">B12*E12</f>
        <v>-1</v>
      </c>
      <c r="G12" s="15">
        <f t="shared" ref="G12:G18" si="1">C12*E12</f>
        <v>1</v>
      </c>
      <c r="H12" s="17">
        <f t="shared" ref="H12:H18" si="2">B12*C12*E12</f>
        <v>1</v>
      </c>
      <c r="I12" s="27">
        <v>16.5</v>
      </c>
      <c r="J12" s="27">
        <v>18.5</v>
      </c>
      <c r="K12" s="27">
        <f t="shared" ref="K12:K18" si="3">AVERAGE(I12:J12)</f>
        <v>17.5</v>
      </c>
      <c r="U12" s="1"/>
      <c r="V12" s="1"/>
      <c r="W12" s="1"/>
      <c r="X12" s="36"/>
      <c r="Y12" s="36"/>
      <c r="Z12" s="36"/>
    </row>
    <row r="13" spans="1:26" x14ac:dyDescent="0.2">
      <c r="A13" s="99"/>
      <c r="B13" s="12">
        <v>-1</v>
      </c>
      <c r="C13" s="12">
        <v>1</v>
      </c>
      <c r="D13" s="15">
        <f t="shared" ref="D13:D18" si="4">B13*C13</f>
        <v>-1</v>
      </c>
      <c r="E13" s="12">
        <v>-1</v>
      </c>
      <c r="F13" s="15">
        <f t="shared" si="0"/>
        <v>1</v>
      </c>
      <c r="G13" s="15">
        <f t="shared" si="1"/>
        <v>-1</v>
      </c>
      <c r="H13" s="17">
        <f t="shared" si="2"/>
        <v>1</v>
      </c>
      <c r="I13" s="27">
        <v>30</v>
      </c>
      <c r="J13" s="27">
        <v>40</v>
      </c>
      <c r="K13" s="27">
        <f t="shared" si="3"/>
        <v>35</v>
      </c>
      <c r="U13" s="1"/>
      <c r="V13" s="1"/>
      <c r="W13" s="1"/>
      <c r="X13" s="36"/>
      <c r="Y13" s="36"/>
      <c r="Z13" s="36"/>
    </row>
    <row r="14" spans="1:26" x14ac:dyDescent="0.2">
      <c r="A14" s="99"/>
      <c r="B14" s="12">
        <v>1</v>
      </c>
      <c r="C14" s="12">
        <v>1</v>
      </c>
      <c r="D14" s="15">
        <f t="shared" si="4"/>
        <v>1</v>
      </c>
      <c r="E14" s="12">
        <v>-1</v>
      </c>
      <c r="F14" s="15">
        <f t="shared" si="0"/>
        <v>-1</v>
      </c>
      <c r="G14" s="15">
        <f t="shared" si="1"/>
        <v>-1</v>
      </c>
      <c r="H14" s="17">
        <f t="shared" si="2"/>
        <v>-1</v>
      </c>
      <c r="I14" s="27">
        <v>64</v>
      </c>
      <c r="J14" s="27">
        <v>70</v>
      </c>
      <c r="K14" s="27">
        <f t="shared" si="3"/>
        <v>67</v>
      </c>
      <c r="U14" s="1"/>
      <c r="V14" s="1"/>
      <c r="W14" s="1"/>
      <c r="X14" s="36"/>
      <c r="Y14" s="36"/>
      <c r="Z14" s="36"/>
    </row>
    <row r="15" spans="1:26" x14ac:dyDescent="0.2">
      <c r="A15" s="99"/>
      <c r="B15" s="12">
        <v>-1</v>
      </c>
      <c r="C15" s="12">
        <v>-1</v>
      </c>
      <c r="D15" s="15">
        <f t="shared" si="4"/>
        <v>1</v>
      </c>
      <c r="E15" s="12">
        <v>1</v>
      </c>
      <c r="F15" s="15">
        <f t="shared" si="0"/>
        <v>-1</v>
      </c>
      <c r="G15" s="15">
        <f t="shared" si="1"/>
        <v>-1</v>
      </c>
      <c r="H15" s="17">
        <f t="shared" si="2"/>
        <v>1</v>
      </c>
      <c r="I15" s="27">
        <v>48.5</v>
      </c>
      <c r="J15" s="27">
        <v>49.5</v>
      </c>
      <c r="K15" s="27">
        <f t="shared" si="3"/>
        <v>49</v>
      </c>
    </row>
    <row r="16" spans="1:26" x14ac:dyDescent="0.2">
      <c r="A16" s="99"/>
      <c r="B16" s="12">
        <v>1</v>
      </c>
      <c r="C16" s="12">
        <v>-1</v>
      </c>
      <c r="D16" s="15">
        <f t="shared" si="4"/>
        <v>-1</v>
      </c>
      <c r="E16" s="12">
        <v>1</v>
      </c>
      <c r="F16" s="15">
        <f t="shared" si="0"/>
        <v>1</v>
      </c>
      <c r="G16" s="15">
        <f t="shared" si="1"/>
        <v>-1</v>
      </c>
      <c r="H16" s="17">
        <f t="shared" si="2"/>
        <v>-1</v>
      </c>
      <c r="I16" s="27">
        <v>31</v>
      </c>
      <c r="J16" s="27">
        <v>35</v>
      </c>
      <c r="K16" s="27">
        <f t="shared" si="3"/>
        <v>33</v>
      </c>
    </row>
    <row r="17" spans="1:11" x14ac:dyDescent="0.2">
      <c r="A17" s="99"/>
      <c r="B17" s="12">
        <v>-1</v>
      </c>
      <c r="C17" s="12">
        <v>1</v>
      </c>
      <c r="D17" s="15">
        <f t="shared" si="4"/>
        <v>-1</v>
      </c>
      <c r="E17" s="12">
        <v>1</v>
      </c>
      <c r="F17" s="15">
        <f t="shared" si="0"/>
        <v>-1</v>
      </c>
      <c r="G17" s="15">
        <f t="shared" si="1"/>
        <v>1</v>
      </c>
      <c r="H17" s="17">
        <f t="shared" si="2"/>
        <v>-1</v>
      </c>
      <c r="I17" s="27">
        <v>54.8</v>
      </c>
      <c r="J17" s="27">
        <v>55.2</v>
      </c>
      <c r="K17" s="27">
        <f t="shared" si="3"/>
        <v>55</v>
      </c>
    </row>
    <row r="18" spans="1:11" x14ac:dyDescent="0.2">
      <c r="A18" s="99"/>
      <c r="B18" s="13">
        <v>1</v>
      </c>
      <c r="C18" s="13">
        <v>1</v>
      </c>
      <c r="D18" s="15">
        <f t="shared" si="4"/>
        <v>1</v>
      </c>
      <c r="E18" s="13">
        <v>1</v>
      </c>
      <c r="F18" s="15">
        <f t="shared" si="0"/>
        <v>1</v>
      </c>
      <c r="G18" s="15">
        <f t="shared" si="1"/>
        <v>1</v>
      </c>
      <c r="H18" s="17">
        <f t="shared" si="2"/>
        <v>1</v>
      </c>
      <c r="I18" s="28">
        <v>82.7</v>
      </c>
      <c r="J18" s="28">
        <v>83.3</v>
      </c>
      <c r="K18" s="27">
        <f t="shared" si="3"/>
        <v>83</v>
      </c>
    </row>
    <row r="19" spans="1:11" ht="17" x14ac:dyDescent="0.25">
      <c r="A19" s="5" t="s">
        <v>8</v>
      </c>
      <c r="B19" s="9">
        <f>SUMPRODUCT(B11:B18,$K$11:$K$18)</f>
        <v>41</v>
      </c>
      <c r="C19" s="9">
        <f t="shared" ref="C19:H19" si="5">SUMPRODUCT(C11:C18,$K$11:$K$18)</f>
        <v>120</v>
      </c>
      <c r="D19" s="9">
        <f t="shared" si="5"/>
        <v>79</v>
      </c>
      <c r="E19" s="9">
        <f t="shared" si="5"/>
        <v>80</v>
      </c>
      <c r="F19" s="9">
        <f t="shared" si="5"/>
        <v>-17</v>
      </c>
      <c r="G19" s="9">
        <f t="shared" si="5"/>
        <v>-8</v>
      </c>
      <c r="H19" s="9">
        <f t="shared" si="5"/>
        <v>9</v>
      </c>
      <c r="I19" s="100" t="s">
        <v>39</v>
      </c>
      <c r="J19" s="101"/>
      <c r="K19" s="29">
        <f>AVERAGE(K11:K18)</f>
        <v>45</v>
      </c>
    </row>
    <row r="20" spans="1:11" ht="17" x14ac:dyDescent="0.25">
      <c r="A20" s="19" t="s">
        <v>34</v>
      </c>
      <c r="B20" s="20">
        <f>B19/8</f>
        <v>5.125</v>
      </c>
      <c r="C20" s="20">
        <f t="shared" ref="C20:H20" si="6">C19/8</f>
        <v>15</v>
      </c>
      <c r="D20" s="20">
        <f t="shared" si="6"/>
        <v>9.875</v>
      </c>
      <c r="E20" s="20">
        <f t="shared" si="6"/>
        <v>10</v>
      </c>
      <c r="F20" s="20">
        <f t="shared" si="6"/>
        <v>-2.125</v>
      </c>
      <c r="G20" s="20">
        <f t="shared" si="6"/>
        <v>-1</v>
      </c>
      <c r="H20" s="20">
        <f t="shared" si="6"/>
        <v>1.125</v>
      </c>
      <c r="I20" s="10"/>
    </row>
    <row r="21" spans="1:11" ht="17" x14ac:dyDescent="0.25">
      <c r="A21" s="5" t="s">
        <v>9</v>
      </c>
      <c r="B21" s="9">
        <f t="shared" ref="B21:H21" si="7">-B20</f>
        <v>-5.125</v>
      </c>
      <c r="C21" s="9">
        <f t="shared" si="7"/>
        <v>-15</v>
      </c>
      <c r="D21" s="9">
        <f t="shared" si="7"/>
        <v>-9.875</v>
      </c>
      <c r="E21" s="9">
        <f t="shared" si="7"/>
        <v>-10</v>
      </c>
      <c r="F21" s="9">
        <f t="shared" si="7"/>
        <v>2.125</v>
      </c>
      <c r="G21" s="9">
        <f t="shared" si="7"/>
        <v>1</v>
      </c>
      <c r="H21" s="18">
        <f t="shared" si="7"/>
        <v>-1.125</v>
      </c>
      <c r="I21" s="10"/>
    </row>
    <row r="22" spans="1:11" x14ac:dyDescent="0.2">
      <c r="I22"/>
    </row>
    <row r="23" spans="1:11" ht="17" x14ac:dyDescent="0.25">
      <c r="A23" s="5" t="s">
        <v>19</v>
      </c>
      <c r="B23" s="26">
        <f>B20^2</f>
        <v>26.265625</v>
      </c>
      <c r="C23" s="26">
        <f t="shared" ref="C23:H23" si="8">C20^2</f>
        <v>225</v>
      </c>
      <c r="D23" s="26">
        <f t="shared" si="8"/>
        <v>97.515625</v>
      </c>
      <c r="E23" s="26">
        <f t="shared" si="8"/>
        <v>100</v>
      </c>
      <c r="F23" s="26">
        <f t="shared" si="8"/>
        <v>4.515625</v>
      </c>
      <c r="G23" s="26">
        <f t="shared" si="8"/>
        <v>1</v>
      </c>
      <c r="H23" s="26">
        <f t="shared" si="8"/>
        <v>1.265625</v>
      </c>
      <c r="I23"/>
    </row>
    <row r="26" spans="1:11" x14ac:dyDescent="0.2">
      <c r="A26" s="21" t="s">
        <v>36</v>
      </c>
    </row>
    <row r="30" spans="1:11" x14ac:dyDescent="0.2">
      <c r="B30" t="s">
        <v>37</v>
      </c>
      <c r="E30" s="8" t="s">
        <v>38</v>
      </c>
      <c r="F30" s="23">
        <f>K19+B21+C21+E20</f>
        <v>34.875</v>
      </c>
      <c r="H30" s="45"/>
    </row>
    <row r="32" spans="1:11" x14ac:dyDescent="0.2">
      <c r="E32" s="8" t="s">
        <v>40</v>
      </c>
      <c r="F32" s="23">
        <f>I15</f>
        <v>48.5</v>
      </c>
    </row>
    <row r="34" spans="1:16" x14ac:dyDescent="0.2">
      <c r="A34" s="21" t="s">
        <v>41</v>
      </c>
      <c r="F34" t="s">
        <v>42</v>
      </c>
    </row>
    <row r="37" spans="1:16" x14ac:dyDescent="0.2">
      <c r="A37" s="21" t="s">
        <v>43</v>
      </c>
    </row>
    <row r="39" spans="1:16" x14ac:dyDescent="0.2">
      <c r="A39" t="s">
        <v>44</v>
      </c>
    </row>
    <row r="40" spans="1:16" x14ac:dyDescent="0.2">
      <c r="L40" t="s">
        <v>46</v>
      </c>
    </row>
    <row r="41" spans="1:16" ht="17" x14ac:dyDescent="0.25">
      <c r="A41" s="83" t="s">
        <v>10</v>
      </c>
      <c r="B41" s="83"/>
      <c r="C41" s="7" t="s">
        <v>11</v>
      </c>
      <c r="D41" s="7" t="s">
        <v>12</v>
      </c>
      <c r="E41" s="7" t="s">
        <v>13</v>
      </c>
      <c r="F41" s="7" t="s">
        <v>14</v>
      </c>
      <c r="G41" s="7" t="s">
        <v>15</v>
      </c>
      <c r="H41" s="83" t="s">
        <v>18</v>
      </c>
      <c r="I41" s="83"/>
      <c r="J41" s="83"/>
      <c r="L41" t="s">
        <v>26</v>
      </c>
      <c r="O41" t="s">
        <v>27</v>
      </c>
    </row>
    <row r="42" spans="1:16" x14ac:dyDescent="0.2">
      <c r="A42" s="96" t="s">
        <v>0</v>
      </c>
      <c r="B42" s="96"/>
      <c r="C42" s="24">
        <f>$C$55*B23</f>
        <v>420.25</v>
      </c>
      <c r="D42" s="30">
        <v>1</v>
      </c>
      <c r="E42" s="24">
        <f>C42/D42</f>
        <v>420.25</v>
      </c>
      <c r="F42" s="31">
        <f>E42/$E$49</f>
        <v>40.379533989911017</v>
      </c>
      <c r="G42" s="25">
        <v>5.32</v>
      </c>
      <c r="H42" s="95" t="s">
        <v>20</v>
      </c>
      <c r="I42" s="95"/>
      <c r="J42" s="95"/>
      <c r="L42" s="23">
        <f t="shared" ref="L42:L48" si="9">I11-$K$19</f>
        <v>-26</v>
      </c>
      <c r="M42" s="23">
        <f t="shared" ref="M42:M48" si="10">J11-$K$19</f>
        <v>-23</v>
      </c>
      <c r="O42" s="23">
        <f>L42^2</f>
        <v>676</v>
      </c>
      <c r="P42" s="23">
        <f>M42^2</f>
        <v>529</v>
      </c>
    </row>
    <row r="43" spans="1:16" x14ac:dyDescent="0.2">
      <c r="A43" s="96" t="s">
        <v>1</v>
      </c>
      <c r="B43" s="96"/>
      <c r="C43" s="24">
        <f>C55*C23</f>
        <v>3600</v>
      </c>
      <c r="D43" s="30">
        <v>1</v>
      </c>
      <c r="E43" s="24">
        <f t="shared" ref="E43:E48" si="11">C43/D43</f>
        <v>3600</v>
      </c>
      <c r="F43" s="31">
        <f>E43/$E$49</f>
        <v>345.90439586836328</v>
      </c>
      <c r="G43" s="25">
        <v>5.32</v>
      </c>
      <c r="H43" s="95" t="s">
        <v>20</v>
      </c>
      <c r="I43" s="95"/>
      <c r="J43" s="95"/>
      <c r="L43" s="23">
        <f t="shared" si="9"/>
        <v>-28.5</v>
      </c>
      <c r="M43" s="23">
        <f t="shared" si="10"/>
        <v>-26.5</v>
      </c>
      <c r="O43" s="23">
        <f t="shared" ref="O43:O49" si="12">L43^2</f>
        <v>812.25</v>
      </c>
      <c r="P43" s="23">
        <f t="shared" ref="P43:P49" si="13">M43^2</f>
        <v>702.25</v>
      </c>
    </row>
    <row r="44" spans="1:16" x14ac:dyDescent="0.2">
      <c r="A44" s="96" t="s">
        <v>3</v>
      </c>
      <c r="B44" s="96"/>
      <c r="C44" s="24">
        <f>C55*D23</f>
        <v>1560.25</v>
      </c>
      <c r="D44" s="30">
        <v>1</v>
      </c>
      <c r="E44" s="24">
        <f t="shared" si="11"/>
        <v>1560.25</v>
      </c>
      <c r="F44" s="31">
        <f t="shared" ref="F44:F45" si="14">E44/$E$49</f>
        <v>149.9159260148927</v>
      </c>
      <c r="G44" s="25">
        <v>5.32</v>
      </c>
      <c r="H44" s="95" t="s">
        <v>20</v>
      </c>
      <c r="I44" s="95"/>
      <c r="J44" s="95"/>
      <c r="L44" s="23">
        <f t="shared" si="9"/>
        <v>-15</v>
      </c>
      <c r="M44" s="23">
        <f t="shared" si="10"/>
        <v>-5</v>
      </c>
      <c r="O44" s="23">
        <f t="shared" si="12"/>
        <v>225</v>
      </c>
      <c r="P44" s="23">
        <f t="shared" si="13"/>
        <v>25</v>
      </c>
    </row>
    <row r="45" spans="1:16" x14ac:dyDescent="0.2">
      <c r="A45" s="96" t="s">
        <v>2</v>
      </c>
      <c r="B45" s="96"/>
      <c r="C45" s="24">
        <f>C55*E23</f>
        <v>1600</v>
      </c>
      <c r="D45" s="30">
        <v>1</v>
      </c>
      <c r="E45" s="24">
        <f t="shared" si="11"/>
        <v>1600</v>
      </c>
      <c r="F45" s="31">
        <f t="shared" si="14"/>
        <v>153.73528705260588</v>
      </c>
      <c r="G45" s="25">
        <v>5.32</v>
      </c>
      <c r="H45" s="95" t="s">
        <v>20</v>
      </c>
      <c r="I45" s="95"/>
      <c r="J45" s="95"/>
      <c r="L45" s="23">
        <f t="shared" si="9"/>
        <v>19</v>
      </c>
      <c r="M45" s="23">
        <f t="shared" si="10"/>
        <v>25</v>
      </c>
      <c r="O45" s="23">
        <f t="shared" si="12"/>
        <v>361</v>
      </c>
      <c r="P45" s="23">
        <f t="shared" si="13"/>
        <v>625</v>
      </c>
    </row>
    <row r="46" spans="1:16" x14ac:dyDescent="0.2">
      <c r="A46" s="96" t="s">
        <v>4</v>
      </c>
      <c r="B46" s="96"/>
      <c r="C46" s="24">
        <f>C55*F23</f>
        <v>72.25</v>
      </c>
      <c r="D46" s="30">
        <v>1</v>
      </c>
      <c r="E46" s="24">
        <f t="shared" si="11"/>
        <v>72.25</v>
      </c>
      <c r="F46" s="31">
        <f>E46/$E$49</f>
        <v>6.9421090559692349</v>
      </c>
      <c r="G46" s="25">
        <v>5.32</v>
      </c>
      <c r="H46" s="95" t="s">
        <v>20</v>
      </c>
      <c r="I46" s="95"/>
      <c r="J46" s="95"/>
      <c r="L46" s="23">
        <f t="shared" si="9"/>
        <v>3.5</v>
      </c>
      <c r="M46" s="23">
        <f t="shared" si="10"/>
        <v>4.5</v>
      </c>
      <c r="O46" s="23">
        <f t="shared" si="12"/>
        <v>12.25</v>
      </c>
      <c r="P46" s="23">
        <f t="shared" si="13"/>
        <v>20.25</v>
      </c>
    </row>
    <row r="47" spans="1:16" x14ac:dyDescent="0.2">
      <c r="A47" s="94" t="s">
        <v>5</v>
      </c>
      <c r="B47" s="94"/>
      <c r="C47" s="24">
        <f>C55*G23</f>
        <v>16</v>
      </c>
      <c r="D47" s="30">
        <v>1</v>
      </c>
      <c r="E47" s="24">
        <f t="shared" si="11"/>
        <v>16</v>
      </c>
      <c r="F47" s="32">
        <f t="shared" ref="F47:F48" si="15">E47/$E$49</f>
        <v>1.5373528705260588</v>
      </c>
      <c r="G47" s="30">
        <v>5.32</v>
      </c>
      <c r="H47" s="97" t="s">
        <v>21</v>
      </c>
      <c r="I47" s="97"/>
      <c r="J47" s="97"/>
      <c r="L47" s="23">
        <f t="shared" si="9"/>
        <v>-14</v>
      </c>
      <c r="M47" s="23">
        <f t="shared" si="10"/>
        <v>-10</v>
      </c>
      <c r="O47" s="23">
        <f t="shared" si="12"/>
        <v>196</v>
      </c>
      <c r="P47" s="23">
        <f t="shared" si="13"/>
        <v>100</v>
      </c>
    </row>
    <row r="48" spans="1:16" x14ac:dyDescent="0.2">
      <c r="A48" s="94" t="s">
        <v>6</v>
      </c>
      <c r="B48" s="94"/>
      <c r="C48" s="24">
        <f>C55*H23</f>
        <v>20.25</v>
      </c>
      <c r="D48" s="30">
        <v>1</v>
      </c>
      <c r="E48" s="24">
        <f t="shared" si="11"/>
        <v>20.25</v>
      </c>
      <c r="F48" s="32">
        <f t="shared" si="15"/>
        <v>1.9457122267595433</v>
      </c>
      <c r="G48" s="3">
        <v>5.32</v>
      </c>
      <c r="H48" s="97" t="s">
        <v>21</v>
      </c>
      <c r="I48" s="97"/>
      <c r="J48" s="97"/>
      <c r="L48" s="23">
        <f t="shared" si="9"/>
        <v>9.7999999999999972</v>
      </c>
      <c r="M48" s="23">
        <f t="shared" si="10"/>
        <v>10.200000000000003</v>
      </c>
      <c r="O48" s="23">
        <f t="shared" si="12"/>
        <v>96.039999999999949</v>
      </c>
      <c r="P48" s="23">
        <f t="shared" si="13"/>
        <v>104.04000000000006</v>
      </c>
    </row>
    <row r="49" spans="1:16" x14ac:dyDescent="0.2">
      <c r="A49" s="83" t="s">
        <v>16</v>
      </c>
      <c r="B49" s="83"/>
      <c r="C49" s="11">
        <f>C50-SUM(C42:C48)</f>
        <v>83.260000000000218</v>
      </c>
      <c r="D49" s="3">
        <f>D50-SUM(D42:D48)</f>
        <v>8</v>
      </c>
      <c r="E49" s="65">
        <f>C49/D49</f>
        <v>10.407500000000027</v>
      </c>
      <c r="L49" s="23">
        <f t="shared" ref="L49" si="16">I18-$K$19</f>
        <v>37.700000000000003</v>
      </c>
      <c r="M49" s="23">
        <f>J18-$K$19</f>
        <v>38.299999999999997</v>
      </c>
      <c r="O49" s="23">
        <f t="shared" si="12"/>
        <v>1421.2900000000002</v>
      </c>
      <c r="P49" s="23">
        <f t="shared" si="13"/>
        <v>1466.8899999999999</v>
      </c>
    </row>
    <row r="50" spans="1:16" x14ac:dyDescent="0.2">
      <c r="A50" s="83" t="s">
        <v>17</v>
      </c>
      <c r="B50" s="83"/>
      <c r="C50" s="11">
        <f>SUM(O42:P49)</f>
        <v>7372.26</v>
      </c>
      <c r="D50" s="3">
        <f>C55-1</f>
        <v>15</v>
      </c>
    </row>
    <row r="51" spans="1:16" x14ac:dyDescent="0.2">
      <c r="N51" s="23"/>
    </row>
    <row r="53" spans="1:16" x14ac:dyDescent="0.2">
      <c r="B53" s="8" t="s">
        <v>28</v>
      </c>
      <c r="C53">
        <v>8</v>
      </c>
      <c r="N53" s="23"/>
    </row>
    <row r="54" spans="1:16" x14ac:dyDescent="0.2">
      <c r="B54" s="8" t="s">
        <v>45</v>
      </c>
      <c r="C54">
        <v>2</v>
      </c>
    </row>
    <row r="55" spans="1:16" x14ac:dyDescent="0.2">
      <c r="B55" s="8" t="s">
        <v>29</v>
      </c>
      <c r="C55">
        <f>C53*C54</f>
        <v>16</v>
      </c>
    </row>
    <row r="58" spans="1:16" x14ac:dyDescent="0.2">
      <c r="A58" s="21" t="s">
        <v>47</v>
      </c>
    </row>
    <row r="60" spans="1:16" ht="31.5" customHeight="1" x14ac:dyDescent="0.25">
      <c r="A60" s="84" t="s">
        <v>23</v>
      </c>
      <c r="B60" s="84"/>
      <c r="C60" s="85"/>
      <c r="D60" s="7" t="s">
        <v>11</v>
      </c>
      <c r="E60" s="7" t="s">
        <v>12</v>
      </c>
      <c r="F60" s="7" t="s">
        <v>13</v>
      </c>
      <c r="G60" s="7" t="s">
        <v>14</v>
      </c>
      <c r="H60" s="82" t="s">
        <v>54</v>
      </c>
      <c r="I60" s="83"/>
      <c r="J60" s="83" t="s">
        <v>18</v>
      </c>
      <c r="K60" s="83"/>
    </row>
    <row r="61" spans="1:16" x14ac:dyDescent="0.2">
      <c r="A61" s="84" t="s">
        <v>5</v>
      </c>
      <c r="B61" s="84"/>
      <c r="C61" s="85"/>
      <c r="D61" s="33">
        <f>C47</f>
        <v>16</v>
      </c>
      <c r="E61" s="34">
        <f>D47</f>
        <v>1</v>
      </c>
      <c r="F61" s="86">
        <f>D65/SUM(E61:E62)</f>
        <v>18.125</v>
      </c>
      <c r="G61" s="88">
        <f>F61/F63</f>
        <v>1.741532548642801</v>
      </c>
      <c r="H61" s="90">
        <v>4.46</v>
      </c>
      <c r="I61" s="91"/>
      <c r="J61" s="90" t="s">
        <v>25</v>
      </c>
      <c r="K61" s="91"/>
    </row>
    <row r="62" spans="1:16" x14ac:dyDescent="0.2">
      <c r="A62" s="80" t="s">
        <v>6</v>
      </c>
      <c r="B62" s="80"/>
      <c r="C62" s="81"/>
      <c r="D62" s="11">
        <f>C48</f>
        <v>20.25</v>
      </c>
      <c r="E62" s="3">
        <f>D46</f>
        <v>1</v>
      </c>
      <c r="F62" s="87"/>
      <c r="G62" s="89"/>
      <c r="H62" s="92"/>
      <c r="I62" s="93"/>
      <c r="J62" s="92"/>
      <c r="K62" s="93"/>
    </row>
    <row r="63" spans="1:16" x14ac:dyDescent="0.2">
      <c r="A63" s="80" t="s">
        <v>16</v>
      </c>
      <c r="B63" s="80"/>
      <c r="C63" s="81"/>
      <c r="D63" s="11">
        <f>C49</f>
        <v>83.260000000000218</v>
      </c>
      <c r="E63" s="11">
        <f>D49</f>
        <v>8</v>
      </c>
      <c r="F63" s="11">
        <f>D66/E63</f>
        <v>10.407500000000027</v>
      </c>
      <c r="I63"/>
    </row>
    <row r="64" spans="1:16" x14ac:dyDescent="0.2">
      <c r="D64" s="6"/>
      <c r="I64"/>
    </row>
    <row r="65" spans="1:9" x14ac:dyDescent="0.2">
      <c r="C65" s="4" t="s">
        <v>22</v>
      </c>
      <c r="D65" s="23">
        <f>SUM(D61:D62)</f>
        <v>36.25</v>
      </c>
      <c r="I65"/>
    </row>
    <row r="66" spans="1:9" x14ac:dyDescent="0.2">
      <c r="C66" s="4" t="s">
        <v>24</v>
      </c>
      <c r="D66" s="23">
        <f>D63</f>
        <v>83.260000000000218</v>
      </c>
      <c r="I66"/>
    </row>
    <row r="69" spans="1:9" x14ac:dyDescent="0.2">
      <c r="A69" s="21" t="s">
        <v>48</v>
      </c>
    </row>
    <row r="71" spans="1:9" x14ac:dyDescent="0.2">
      <c r="A71" t="s">
        <v>49</v>
      </c>
    </row>
  </sheetData>
  <mergeCells count="34">
    <mergeCell ref="A47:B47"/>
    <mergeCell ref="H47:J47"/>
    <mergeCell ref="H48:J48"/>
    <mergeCell ref="A42:B42"/>
    <mergeCell ref="Z5:Z6"/>
    <mergeCell ref="A11:A18"/>
    <mergeCell ref="I19:J19"/>
    <mergeCell ref="A41:B41"/>
    <mergeCell ref="K9:K10"/>
    <mergeCell ref="I9:J9"/>
    <mergeCell ref="X5:Y5"/>
    <mergeCell ref="H46:J46"/>
    <mergeCell ref="A43:B43"/>
    <mergeCell ref="A44:B44"/>
    <mergeCell ref="A45:B45"/>
    <mergeCell ref="A46:B46"/>
    <mergeCell ref="H41:J41"/>
    <mergeCell ref="H42:J42"/>
    <mergeCell ref="H43:J43"/>
    <mergeCell ref="H44:J44"/>
    <mergeCell ref="H45:J45"/>
    <mergeCell ref="J60:K60"/>
    <mergeCell ref="A60:C60"/>
    <mergeCell ref="A62:C62"/>
    <mergeCell ref="J61:K62"/>
    <mergeCell ref="A48:B48"/>
    <mergeCell ref="A49:B49"/>
    <mergeCell ref="A50:B50"/>
    <mergeCell ref="A63:C63"/>
    <mergeCell ref="H60:I60"/>
    <mergeCell ref="A61:C61"/>
    <mergeCell ref="F61:F62"/>
    <mergeCell ref="G61:G62"/>
    <mergeCell ref="H61:I6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0"/>
  <sheetViews>
    <sheetView tabSelected="1" topLeftCell="A132" zoomScale="135" zoomScaleNormal="135" workbookViewId="0">
      <selection activeCell="A52" sqref="A52"/>
    </sheetView>
  </sheetViews>
  <sheetFormatPr baseColWidth="10" defaultRowHeight="15" x14ac:dyDescent="0.2"/>
  <cols>
    <col min="1" max="1" width="21.33203125" customWidth="1"/>
    <col min="7" max="7" width="8.5" customWidth="1"/>
    <col min="12" max="12" width="7.83203125" customWidth="1"/>
    <col min="14" max="14" width="8.33203125" customWidth="1"/>
    <col min="15" max="15" width="7.83203125" customWidth="1"/>
  </cols>
  <sheetData>
    <row r="1" spans="1:18" ht="16" x14ac:dyDescent="0.2">
      <c r="A1" s="37" t="s">
        <v>55</v>
      </c>
    </row>
    <row r="3" spans="1:18" x14ac:dyDescent="0.2">
      <c r="A3" t="s">
        <v>56</v>
      </c>
    </row>
    <row r="4" spans="1:18" x14ac:dyDescent="0.2">
      <c r="A4" t="s">
        <v>57</v>
      </c>
    </row>
    <row r="5" spans="1:18" x14ac:dyDescent="0.2">
      <c r="B5" t="s">
        <v>58</v>
      </c>
    </row>
    <row r="6" spans="1:18" x14ac:dyDescent="0.2">
      <c r="B6" t="s">
        <v>59</v>
      </c>
    </row>
    <row r="7" spans="1:18" x14ac:dyDescent="0.2">
      <c r="B7" t="s">
        <v>60</v>
      </c>
    </row>
    <row r="9" spans="1:18" x14ac:dyDescent="0.2">
      <c r="A9" t="s">
        <v>61</v>
      </c>
    </row>
    <row r="10" spans="1:18" x14ac:dyDescent="0.2">
      <c r="B10" t="s">
        <v>62</v>
      </c>
    </row>
    <row r="12" spans="1:18" x14ac:dyDescent="0.2">
      <c r="A12" s="21" t="s">
        <v>68</v>
      </c>
    </row>
    <row r="13" spans="1:18" x14ac:dyDescent="0.2">
      <c r="A13" t="s">
        <v>63</v>
      </c>
      <c r="H13" s="75" t="s">
        <v>14</v>
      </c>
      <c r="I13" s="75"/>
      <c r="J13" s="75"/>
      <c r="K13" s="75"/>
    </row>
    <row r="14" spans="1:18" x14ac:dyDescent="0.2">
      <c r="H14" s="38">
        <v>1</v>
      </c>
      <c r="I14" s="38">
        <v>2</v>
      </c>
      <c r="J14" s="38">
        <v>3</v>
      </c>
      <c r="K14" s="38">
        <v>4</v>
      </c>
    </row>
    <row r="15" spans="1:18" x14ac:dyDescent="0.2">
      <c r="A15" t="s">
        <v>64</v>
      </c>
      <c r="B15" s="39" t="s">
        <v>0</v>
      </c>
      <c r="C15" s="39" t="s">
        <v>1</v>
      </c>
      <c r="D15" s="39" t="s">
        <v>2</v>
      </c>
      <c r="E15" s="39" t="s">
        <v>4</v>
      </c>
      <c r="F15" s="39" t="s">
        <v>3</v>
      </c>
      <c r="M15" s="12" t="s">
        <v>53</v>
      </c>
      <c r="N15" s="12" t="s">
        <v>117</v>
      </c>
      <c r="O15" s="12" t="s">
        <v>13</v>
      </c>
      <c r="P15" s="12" t="s">
        <v>65</v>
      </c>
    </row>
    <row r="16" spans="1:18" x14ac:dyDescent="0.2">
      <c r="A16">
        <v>1</v>
      </c>
      <c r="B16" s="40">
        <v>1</v>
      </c>
      <c r="C16" s="40">
        <v>1</v>
      </c>
      <c r="D16" s="40">
        <v>1</v>
      </c>
      <c r="E16" s="40">
        <v>1</v>
      </c>
      <c r="F16" s="40">
        <v>1</v>
      </c>
      <c r="H16" s="40">
        <v>3.61</v>
      </c>
      <c r="I16" s="40">
        <v>4.29</v>
      </c>
      <c r="J16" s="40">
        <v>5.17</v>
      </c>
      <c r="K16" s="40">
        <v>4.7699999999999996</v>
      </c>
      <c r="M16" s="50">
        <f>AVERAGE(H16:K16)</f>
        <v>4.46</v>
      </c>
      <c r="N16" s="50">
        <f>_xlfn.STDEV.S(H16:K16)^2</f>
        <v>0.45053333333333018</v>
      </c>
      <c r="O16" s="50">
        <f>M16^2+N16</f>
        <v>20.342133333333329</v>
      </c>
      <c r="P16" s="48">
        <f>-10*LOG10(O16)</f>
        <v>-13.083964965862853</v>
      </c>
      <c r="R16" s="45"/>
    </row>
    <row r="17" spans="1:16" x14ac:dyDescent="0.2">
      <c r="A17">
        <v>2</v>
      </c>
      <c r="B17" s="40">
        <v>1</v>
      </c>
      <c r="C17" s="40">
        <v>2</v>
      </c>
      <c r="D17" s="40">
        <v>2</v>
      </c>
      <c r="E17" s="40">
        <v>2</v>
      </c>
      <c r="F17" s="40">
        <v>2</v>
      </c>
      <c r="H17" s="40">
        <v>2.74</v>
      </c>
      <c r="I17" s="40">
        <v>3.76</v>
      </c>
      <c r="J17" s="40">
        <v>4.68</v>
      </c>
      <c r="K17" s="40">
        <v>4.5999999999999996</v>
      </c>
      <c r="M17" s="50">
        <f t="shared" ref="M17:M23" si="0">AVERAGE(H17:K17)</f>
        <v>3.9449999999999998</v>
      </c>
      <c r="N17" s="50">
        <f t="shared" ref="N17:N23" si="1">_xlfn.STDEV.S(H17:K17)^2</f>
        <v>0.81849999999999801</v>
      </c>
      <c r="O17" s="50">
        <f t="shared" ref="O17:O23" si="2">M17^2+N17</f>
        <v>16.381524999999996</v>
      </c>
      <c r="P17" s="48">
        <f t="shared" ref="P17:P23" si="3">-10*LOG10(O17)</f>
        <v>-12.143543289418812</v>
      </c>
    </row>
    <row r="18" spans="1:16" x14ac:dyDescent="0.2">
      <c r="A18">
        <v>3</v>
      </c>
      <c r="B18" s="40">
        <v>2</v>
      </c>
      <c r="C18" s="40">
        <v>1</v>
      </c>
      <c r="D18" s="40">
        <v>2</v>
      </c>
      <c r="E18" s="40">
        <v>1</v>
      </c>
      <c r="F18" s="40">
        <v>2</v>
      </c>
      <c r="H18" s="40">
        <v>1.54</v>
      </c>
      <c r="I18" s="40">
        <v>1.8</v>
      </c>
      <c r="J18" s="40">
        <v>2.2200000000000002</v>
      </c>
      <c r="K18" s="40">
        <v>2.75</v>
      </c>
      <c r="M18" s="50">
        <f t="shared" si="0"/>
        <v>2.0775000000000001</v>
      </c>
      <c r="N18" s="50">
        <f t="shared" si="1"/>
        <v>0.27949166666666508</v>
      </c>
      <c r="O18" s="50">
        <f t="shared" si="2"/>
        <v>4.5954979166666661</v>
      </c>
      <c r="P18" s="48">
        <f t="shared" si="3"/>
        <v>-6.6233257355576498</v>
      </c>
    </row>
    <row r="19" spans="1:16" x14ac:dyDescent="0.2">
      <c r="A19">
        <v>4</v>
      </c>
      <c r="B19" s="40">
        <v>2</v>
      </c>
      <c r="C19" s="40">
        <v>2</v>
      </c>
      <c r="D19" s="40">
        <v>1</v>
      </c>
      <c r="E19" s="40">
        <v>2</v>
      </c>
      <c r="F19" s="40">
        <v>1</v>
      </c>
      <c r="H19" s="40">
        <v>3.35</v>
      </c>
      <c r="I19" s="40">
        <v>4.3099999999999996</v>
      </c>
      <c r="J19" s="40">
        <v>3.17</v>
      </c>
      <c r="K19" s="40">
        <v>4.9800000000000004</v>
      </c>
      <c r="M19" s="50">
        <f t="shared" si="0"/>
        <v>3.9525000000000001</v>
      </c>
      <c r="N19" s="50">
        <f t="shared" si="1"/>
        <v>0.71962499999999585</v>
      </c>
      <c r="O19" s="50">
        <f t="shared" si="2"/>
        <v>16.341881249999997</v>
      </c>
      <c r="P19" s="48">
        <f t="shared" si="3"/>
        <v>-12.133020503276997</v>
      </c>
    </row>
    <row r="20" spans="1:16" x14ac:dyDescent="0.2">
      <c r="A20">
        <v>5</v>
      </c>
      <c r="B20" s="40">
        <v>3</v>
      </c>
      <c r="C20" s="40">
        <v>1</v>
      </c>
      <c r="D20" s="40">
        <v>2</v>
      </c>
      <c r="E20" s="40">
        <v>2</v>
      </c>
      <c r="F20" s="40">
        <v>1</v>
      </c>
      <c r="H20" s="40">
        <v>1.72</v>
      </c>
      <c r="I20" s="40">
        <v>3.03</v>
      </c>
      <c r="J20" s="40">
        <v>3.19</v>
      </c>
      <c r="K20" s="40">
        <v>1.89</v>
      </c>
      <c r="M20" s="50">
        <f t="shared" si="0"/>
        <v>2.4575</v>
      </c>
      <c r="N20" s="50">
        <f t="shared" si="1"/>
        <v>0.57675833333333182</v>
      </c>
      <c r="O20" s="50">
        <f t="shared" si="2"/>
        <v>6.6160645833333316</v>
      </c>
      <c r="P20" s="48">
        <f t="shared" si="3"/>
        <v>-8.2059973597139333</v>
      </c>
    </row>
    <row r="21" spans="1:16" x14ac:dyDescent="0.2">
      <c r="A21">
        <v>6</v>
      </c>
      <c r="B21" s="40">
        <v>3</v>
      </c>
      <c r="C21" s="40">
        <v>2</v>
      </c>
      <c r="D21" s="40">
        <v>1</v>
      </c>
      <c r="E21" s="40">
        <v>1</v>
      </c>
      <c r="F21" s="40">
        <v>2</v>
      </c>
      <c r="H21" s="40">
        <v>3.27</v>
      </c>
      <c r="I21" s="40">
        <v>4.1500000000000004</v>
      </c>
      <c r="J21" s="40">
        <v>4.8600000000000003</v>
      </c>
      <c r="K21" s="40">
        <v>5.17</v>
      </c>
      <c r="M21" s="50">
        <f t="shared" si="0"/>
        <v>4.3625000000000007</v>
      </c>
      <c r="N21" s="50">
        <f t="shared" si="1"/>
        <v>0.71275833333332639</v>
      </c>
      <c r="O21" s="50">
        <f t="shared" si="2"/>
        <v>19.744164583333333</v>
      </c>
      <c r="P21" s="48">
        <f t="shared" si="3"/>
        <v>-12.954387625585554</v>
      </c>
    </row>
    <row r="22" spans="1:16" x14ac:dyDescent="0.2">
      <c r="A22">
        <v>7</v>
      </c>
      <c r="B22" s="40">
        <v>4</v>
      </c>
      <c r="C22" s="40">
        <v>1</v>
      </c>
      <c r="D22" s="40">
        <v>1</v>
      </c>
      <c r="E22" s="40">
        <v>2</v>
      </c>
      <c r="F22" s="40">
        <v>2</v>
      </c>
      <c r="H22" s="40">
        <v>2.81</v>
      </c>
      <c r="I22" s="40">
        <v>4.0199999999999996</v>
      </c>
      <c r="J22" s="40">
        <v>3.51</v>
      </c>
      <c r="K22" s="40">
        <v>3.25</v>
      </c>
      <c r="M22" s="50">
        <f t="shared" si="0"/>
        <v>3.3975</v>
      </c>
      <c r="N22" s="50">
        <f t="shared" si="1"/>
        <v>0.25569166666666621</v>
      </c>
      <c r="O22" s="50">
        <f t="shared" si="2"/>
        <v>11.798697916666665</v>
      </c>
      <c r="P22" s="48">
        <f t="shared" si="3"/>
        <v>-10.718340819833625</v>
      </c>
    </row>
    <row r="23" spans="1:16" x14ac:dyDescent="0.2">
      <c r="A23">
        <v>8</v>
      </c>
      <c r="B23" s="40">
        <v>4</v>
      </c>
      <c r="C23" s="40">
        <v>2</v>
      </c>
      <c r="D23" s="40">
        <v>2</v>
      </c>
      <c r="E23" s="40">
        <v>1</v>
      </c>
      <c r="F23" s="40">
        <v>1</v>
      </c>
      <c r="H23" s="40">
        <v>2.23</v>
      </c>
      <c r="I23" s="40">
        <v>2.2200000000000002</v>
      </c>
      <c r="J23" s="40">
        <v>3.38</v>
      </c>
      <c r="K23" s="40">
        <v>3.34</v>
      </c>
      <c r="M23" s="50">
        <f t="shared" si="0"/>
        <v>2.7925</v>
      </c>
      <c r="N23" s="50">
        <f t="shared" si="1"/>
        <v>0.42969166666666564</v>
      </c>
      <c r="O23" s="50">
        <f t="shared" si="2"/>
        <v>8.2277479166666652</v>
      </c>
      <c r="P23" s="48">
        <f t="shared" si="3"/>
        <v>-9.1528097722811417</v>
      </c>
    </row>
    <row r="24" spans="1:16" x14ac:dyDescent="0.2">
      <c r="M24" s="43"/>
      <c r="N24" s="43"/>
      <c r="O24" s="43"/>
    </row>
    <row r="25" spans="1:16" x14ac:dyDescent="0.2">
      <c r="L25" s="8" t="s">
        <v>66</v>
      </c>
      <c r="M25" s="44">
        <f>AVERAGE(M16:M23)</f>
        <v>3.4306250000000005</v>
      </c>
      <c r="P25" s="42">
        <f>AVERAGE(P16:P23)</f>
        <v>-10.626923758941322</v>
      </c>
    </row>
    <row r="26" spans="1:16" x14ac:dyDescent="0.2">
      <c r="A26" s="1"/>
      <c r="B26" s="1"/>
    </row>
    <row r="27" spans="1:16" x14ac:dyDescent="0.2">
      <c r="A27" s="8"/>
      <c r="B27" s="46"/>
    </row>
    <row r="28" spans="1:16" x14ac:dyDescent="0.2">
      <c r="A28" s="21" t="s">
        <v>69</v>
      </c>
      <c r="B28" s="46"/>
    </row>
    <row r="29" spans="1:16" x14ac:dyDescent="0.2">
      <c r="A29" s="8"/>
      <c r="B29" s="46"/>
    </row>
    <row r="31" spans="1:16" x14ac:dyDescent="0.2">
      <c r="B31" s="12" t="s">
        <v>0</v>
      </c>
      <c r="C31" s="12" t="s">
        <v>1</v>
      </c>
      <c r="D31" s="12" t="s">
        <v>2</v>
      </c>
      <c r="E31" s="12" t="s">
        <v>4</v>
      </c>
      <c r="F31" s="12" t="s">
        <v>3</v>
      </c>
      <c r="H31" s="12" t="s">
        <v>65</v>
      </c>
    </row>
    <row r="32" spans="1:16" x14ac:dyDescent="0.2">
      <c r="B32" s="49">
        <v>1</v>
      </c>
      <c r="C32" s="49">
        <v>1</v>
      </c>
      <c r="D32" s="49">
        <v>1</v>
      </c>
      <c r="E32" s="49">
        <v>1</v>
      </c>
      <c r="F32" s="49">
        <v>1</v>
      </c>
      <c r="H32" s="32">
        <f>P16</f>
        <v>-13.083964965862853</v>
      </c>
    </row>
    <row r="33" spans="1:8" x14ac:dyDescent="0.2">
      <c r="B33" s="49">
        <v>1</v>
      </c>
      <c r="C33" s="49">
        <v>2</v>
      </c>
      <c r="D33" s="49">
        <v>2</v>
      </c>
      <c r="E33" s="49">
        <v>2</v>
      </c>
      <c r="F33" s="49">
        <v>2</v>
      </c>
      <c r="H33" s="32">
        <f t="shared" ref="H33:H39" si="4">P17</f>
        <v>-12.143543289418812</v>
      </c>
    </row>
    <row r="34" spans="1:8" x14ac:dyDescent="0.2">
      <c r="B34" s="49">
        <v>2</v>
      </c>
      <c r="C34" s="49">
        <v>1</v>
      </c>
      <c r="D34" s="49">
        <v>2</v>
      </c>
      <c r="E34" s="49">
        <v>1</v>
      </c>
      <c r="F34" s="49">
        <v>2</v>
      </c>
      <c r="H34" s="32">
        <f t="shared" si="4"/>
        <v>-6.6233257355576498</v>
      </c>
    </row>
    <row r="35" spans="1:8" x14ac:dyDescent="0.2">
      <c r="B35" s="49">
        <v>2</v>
      </c>
      <c r="C35" s="49">
        <v>2</v>
      </c>
      <c r="D35" s="49">
        <v>1</v>
      </c>
      <c r="E35" s="49">
        <v>2</v>
      </c>
      <c r="F35" s="49">
        <v>1</v>
      </c>
      <c r="H35" s="32">
        <f t="shared" si="4"/>
        <v>-12.133020503276997</v>
      </c>
    </row>
    <row r="36" spans="1:8" x14ac:dyDescent="0.2">
      <c r="B36" s="49">
        <v>3</v>
      </c>
      <c r="C36" s="49">
        <v>1</v>
      </c>
      <c r="D36" s="49">
        <v>2</v>
      </c>
      <c r="E36" s="49">
        <v>2</v>
      </c>
      <c r="F36" s="49">
        <v>1</v>
      </c>
      <c r="H36" s="32">
        <f t="shared" si="4"/>
        <v>-8.2059973597139333</v>
      </c>
    </row>
    <row r="37" spans="1:8" x14ac:dyDescent="0.2">
      <c r="B37" s="49">
        <v>3</v>
      </c>
      <c r="C37" s="49">
        <v>2</v>
      </c>
      <c r="D37" s="49">
        <v>1</v>
      </c>
      <c r="E37" s="49">
        <v>1</v>
      </c>
      <c r="F37" s="49">
        <v>2</v>
      </c>
      <c r="H37" s="32">
        <f t="shared" si="4"/>
        <v>-12.954387625585554</v>
      </c>
    </row>
    <row r="38" spans="1:8" x14ac:dyDescent="0.2">
      <c r="B38" s="49">
        <v>4</v>
      </c>
      <c r="C38" s="49">
        <v>1</v>
      </c>
      <c r="D38" s="49">
        <v>1</v>
      </c>
      <c r="E38" s="49">
        <v>2</v>
      </c>
      <c r="F38" s="49">
        <v>2</v>
      </c>
      <c r="H38" s="32">
        <f t="shared" si="4"/>
        <v>-10.718340819833625</v>
      </c>
    </row>
    <row r="39" spans="1:8" x14ac:dyDescent="0.2">
      <c r="B39" s="49">
        <v>4</v>
      </c>
      <c r="C39" s="49">
        <v>2</v>
      </c>
      <c r="D39" s="49">
        <v>2</v>
      </c>
      <c r="E39" s="49">
        <v>1</v>
      </c>
      <c r="F39" s="49">
        <v>1</v>
      </c>
      <c r="H39" s="32">
        <f t="shared" si="4"/>
        <v>-9.1528097722811417</v>
      </c>
    </row>
    <row r="40" spans="1:8" x14ac:dyDescent="0.2">
      <c r="G40" s="8" t="s">
        <v>118</v>
      </c>
      <c r="H40" s="45">
        <f>P25</f>
        <v>-10.626923758941322</v>
      </c>
    </row>
    <row r="42" spans="1:8" x14ac:dyDescent="0.2">
      <c r="A42" s="8" t="s">
        <v>70</v>
      </c>
      <c r="B42" s="42">
        <f>AVERAGE(H32:H33)</f>
        <v>-12.613754127640831</v>
      </c>
      <c r="C42" s="42">
        <f>AVERAGE(H32,H34,H36,H38)</f>
        <v>-9.6579072202420164</v>
      </c>
      <c r="D42" s="42">
        <f>AVERAGE(H32,H35,H37:H38)</f>
        <v>-12.222428478639756</v>
      </c>
      <c r="E42" s="42">
        <f>AVERAGE(H32,H34,H37,H39)</f>
        <v>-10.453622024821801</v>
      </c>
      <c r="F42" s="42">
        <f>AVERAGE(H32,H35:H36,H39)</f>
        <v>-10.64394815028373</v>
      </c>
    </row>
    <row r="43" spans="1:8" x14ac:dyDescent="0.2">
      <c r="A43" s="8" t="s">
        <v>71</v>
      </c>
      <c r="B43" s="42">
        <f>AVERAGE(H34:H35)</f>
        <v>-9.3781731194173226</v>
      </c>
      <c r="C43" s="42">
        <f>AVERAGE(H33,H35,H37,H39)</f>
        <v>-11.595940297640627</v>
      </c>
      <c r="D43" s="42">
        <f>AVERAGE(H33:H34,H36,H39)</f>
        <v>-9.0314190392428841</v>
      </c>
      <c r="E43" s="42">
        <f>AVERAGE(H33,H35:H36,H38)</f>
        <v>-10.800225493060843</v>
      </c>
      <c r="F43" s="42">
        <f>AVERAGE(H33:H34,H37:H38)</f>
        <v>-10.60989936759891</v>
      </c>
    </row>
    <row r="44" spans="1:8" x14ac:dyDescent="0.2">
      <c r="A44" s="8" t="s">
        <v>72</v>
      </c>
      <c r="B44" s="42">
        <f>AVERAGE(H36:H37)</f>
        <v>-10.580192492649743</v>
      </c>
      <c r="C44" s="51"/>
      <c r="D44" s="51"/>
      <c r="E44" s="51"/>
      <c r="F44" s="51"/>
    </row>
    <row r="45" spans="1:8" x14ac:dyDescent="0.2">
      <c r="A45" s="8" t="s">
        <v>73</v>
      </c>
      <c r="B45" s="42">
        <f>AVERAGE(H38:H39)</f>
        <v>-9.9355752960573831</v>
      </c>
      <c r="C45" s="51"/>
      <c r="D45" s="51"/>
      <c r="E45" s="51"/>
      <c r="F45" s="51"/>
    </row>
    <row r="46" spans="1:8" x14ac:dyDescent="0.2">
      <c r="B46" s="51"/>
      <c r="C46" s="51"/>
      <c r="D46" s="51"/>
      <c r="E46" s="51"/>
      <c r="F46" s="51"/>
    </row>
    <row r="47" spans="1:8" x14ac:dyDescent="0.2">
      <c r="A47" s="8" t="s">
        <v>74</v>
      </c>
      <c r="B47" s="42">
        <f>B42-$H$40</f>
        <v>-1.9868303686995095</v>
      </c>
      <c r="C47" s="67">
        <f t="shared" ref="C47:F47" si="5">C42-$H$40</f>
        <v>0.96901653869930549</v>
      </c>
      <c r="D47" s="42">
        <f t="shared" si="5"/>
        <v>-1.5955047196984342</v>
      </c>
      <c r="E47" s="42">
        <f t="shared" si="5"/>
        <v>0.1733017341195211</v>
      </c>
      <c r="F47" s="42">
        <f t="shared" si="5"/>
        <v>-1.7024391342408407E-2</v>
      </c>
    </row>
    <row r="48" spans="1:8" x14ac:dyDescent="0.2">
      <c r="A48" s="8" t="s">
        <v>75</v>
      </c>
      <c r="B48" s="67">
        <f t="shared" ref="B48:B50" si="6">B43-$H$40</f>
        <v>1.2487506395239993</v>
      </c>
      <c r="C48" s="42">
        <f t="shared" ref="C48:F48" si="7">C43-$H$40</f>
        <v>-0.96901653869930549</v>
      </c>
      <c r="D48" s="67">
        <f t="shared" si="7"/>
        <v>1.5955047196984378</v>
      </c>
      <c r="E48" s="42">
        <f t="shared" si="7"/>
        <v>-0.1733017341195211</v>
      </c>
      <c r="F48" s="42">
        <f t="shared" si="7"/>
        <v>1.702439134241196E-2</v>
      </c>
    </row>
    <row r="49" spans="1:10" x14ac:dyDescent="0.2">
      <c r="A49" s="8" t="s">
        <v>76</v>
      </c>
      <c r="B49" s="42">
        <f t="shared" si="6"/>
        <v>4.6731266291578422E-2</v>
      </c>
      <c r="C49" s="51"/>
      <c r="D49" s="51"/>
      <c r="E49" s="51"/>
      <c r="F49" s="51"/>
    </row>
    <row r="50" spans="1:10" x14ac:dyDescent="0.2">
      <c r="A50" s="8" t="s">
        <v>77</v>
      </c>
      <c r="B50" s="42">
        <f t="shared" si="6"/>
        <v>0.69134846288393881</v>
      </c>
      <c r="C50" s="51"/>
      <c r="D50" s="51"/>
      <c r="E50" s="51"/>
      <c r="F50" s="51"/>
    </row>
    <row r="52" spans="1:10" x14ac:dyDescent="0.2">
      <c r="B52" s="45"/>
    </row>
    <row r="54" spans="1:10" ht="17" x14ac:dyDescent="0.2">
      <c r="B54" s="43" t="s">
        <v>10</v>
      </c>
      <c r="C54" s="43" t="s">
        <v>11</v>
      </c>
      <c r="D54" s="43" t="s">
        <v>12</v>
      </c>
      <c r="E54" s="43" t="s">
        <v>13</v>
      </c>
      <c r="F54" s="43" t="s">
        <v>14</v>
      </c>
      <c r="G54" s="76" t="s">
        <v>78</v>
      </c>
      <c r="H54" s="76"/>
      <c r="I54" s="76" t="s">
        <v>18</v>
      </c>
      <c r="J54" s="76"/>
    </row>
    <row r="55" spans="1:10" x14ac:dyDescent="0.2">
      <c r="B55" s="1" t="s">
        <v>0</v>
      </c>
      <c r="C55" s="42">
        <f>C64/C65*SUMSQ(B47:B50)</f>
        <v>11.974039164158851</v>
      </c>
      <c r="D55" s="42">
        <f>C65-1</f>
        <v>3</v>
      </c>
      <c r="E55" s="42">
        <f>C55/D55</f>
        <v>3.9913463880529503</v>
      </c>
      <c r="F55" s="42">
        <f>E55/$E$60</f>
        <v>32.906573744934683</v>
      </c>
      <c r="G55" s="77">
        <v>19.2</v>
      </c>
      <c r="H55" s="77"/>
      <c r="I55" s="78" t="s">
        <v>20</v>
      </c>
      <c r="J55" s="78"/>
    </row>
    <row r="56" spans="1:10" x14ac:dyDescent="0.2">
      <c r="B56" s="1" t="s">
        <v>1</v>
      </c>
      <c r="C56" s="42">
        <f>C64/C66*SUMSQ(C47:C48)</f>
        <v>7.511944418182261</v>
      </c>
      <c r="D56" s="42">
        <f>C66-1</f>
        <v>1</v>
      </c>
      <c r="E56" s="42">
        <f>C56/D56</f>
        <v>7.511944418182261</v>
      </c>
      <c r="F56" s="42">
        <f t="shared" ref="F56:F57" si="8">E56/$E$60</f>
        <v>61.932072271319413</v>
      </c>
      <c r="G56" s="77">
        <v>18.5</v>
      </c>
      <c r="H56" s="77"/>
      <c r="I56" s="78" t="s">
        <v>20</v>
      </c>
      <c r="J56" s="78"/>
    </row>
    <row r="57" spans="1:10" x14ac:dyDescent="0.2">
      <c r="B57" s="1" t="s">
        <v>2</v>
      </c>
      <c r="C57" s="42">
        <f>C64/C67*SUMSQ(D47:D48)</f>
        <v>20.365082484639878</v>
      </c>
      <c r="D57" s="42">
        <f>C67-1</f>
        <v>1</v>
      </c>
      <c r="E57" s="42">
        <f>C57/D57</f>
        <v>20.365082484639878</v>
      </c>
      <c r="F57" s="42">
        <f t="shared" si="8"/>
        <v>167.89950644433756</v>
      </c>
      <c r="G57" s="77">
        <v>18.5</v>
      </c>
      <c r="H57" s="77"/>
      <c r="I57" s="78" t="s">
        <v>20</v>
      </c>
      <c r="J57" s="78"/>
    </row>
    <row r="58" spans="1:10" x14ac:dyDescent="0.2">
      <c r="B58" s="53" t="s">
        <v>4</v>
      </c>
      <c r="C58" s="56">
        <f>C64/(C65*C67)*SUMSQ(E47:E48)</f>
        <v>6.0066982097666366E-2</v>
      </c>
      <c r="D58" s="56">
        <v>1</v>
      </c>
      <c r="E58" s="56"/>
      <c r="F58" s="56"/>
      <c r="G58" s="42"/>
    </row>
    <row r="59" spans="1:10" x14ac:dyDescent="0.2">
      <c r="B59" s="53" t="s">
        <v>3</v>
      </c>
      <c r="C59" s="66">
        <f>C64/(C65*C66)*SUMSQ(F47:F48)</f>
        <v>5.7965980115906156E-4</v>
      </c>
      <c r="D59" s="56">
        <v>1</v>
      </c>
      <c r="E59" s="56"/>
      <c r="F59" s="56"/>
      <c r="G59" s="42"/>
    </row>
    <row r="60" spans="1:10" x14ac:dyDescent="0.2">
      <c r="B60" s="1" t="s">
        <v>79</v>
      </c>
      <c r="C60" s="42">
        <f>C61-SUM(C55:C57)</f>
        <v>0.2425865675953176</v>
      </c>
      <c r="D60" s="42">
        <f>D61-SUM(D55:D57)</f>
        <v>2</v>
      </c>
      <c r="E60" s="42">
        <f>C60/D60</f>
        <v>0.1212932837976588</v>
      </c>
      <c r="F60" s="42"/>
      <c r="G60" s="52"/>
      <c r="H60" s="51"/>
    </row>
    <row r="61" spans="1:10" x14ac:dyDescent="0.2">
      <c r="B61" s="1" t="s">
        <v>17</v>
      </c>
      <c r="C61" s="42">
        <f>SUM(E65:E72)</f>
        <v>40.093652634576308</v>
      </c>
      <c r="D61" s="42">
        <f>C64-1</f>
        <v>7</v>
      </c>
      <c r="E61" s="42"/>
      <c r="F61" s="42"/>
      <c r="G61" s="52"/>
      <c r="H61" s="51"/>
    </row>
    <row r="64" spans="1:10" x14ac:dyDescent="0.2">
      <c r="B64" s="8" t="s">
        <v>80</v>
      </c>
      <c r="C64" s="47">
        <v>8</v>
      </c>
      <c r="D64" t="s">
        <v>81</v>
      </c>
      <c r="E64" t="s">
        <v>82</v>
      </c>
    </row>
    <row r="65" spans="1:5" x14ac:dyDescent="0.2">
      <c r="B65" s="8" t="s">
        <v>83</v>
      </c>
      <c r="C65" s="47">
        <f>4</f>
        <v>4</v>
      </c>
      <c r="D65" s="45">
        <f>H32-$H$40</f>
        <v>-2.4570412069215308</v>
      </c>
      <c r="E65" s="45">
        <f>D65^2</f>
        <v>6.0370514925104128</v>
      </c>
    </row>
    <row r="66" spans="1:5" x14ac:dyDescent="0.2">
      <c r="B66" s="8" t="s">
        <v>84</v>
      </c>
      <c r="C66" s="47">
        <v>2</v>
      </c>
      <c r="D66" s="45">
        <f t="shared" ref="D66:D72" si="9">H33-$H$40</f>
        <v>-1.5166195304774899</v>
      </c>
      <c r="E66" s="45">
        <f t="shared" ref="E66:E72" si="10">D66^2</f>
        <v>2.300134800225762</v>
      </c>
    </row>
    <row r="67" spans="1:5" x14ac:dyDescent="0.2">
      <c r="B67" s="8" t="s">
        <v>85</v>
      </c>
      <c r="C67" s="47">
        <v>2</v>
      </c>
      <c r="D67" s="45">
        <f>H34-$H$40</f>
        <v>4.0035980233836721</v>
      </c>
      <c r="E67" s="45">
        <f>D67^2</f>
        <v>16.028797132841646</v>
      </c>
    </row>
    <row r="68" spans="1:5" x14ac:dyDescent="0.2">
      <c r="B68" s="8"/>
      <c r="C68" s="47"/>
      <c r="D68" s="45">
        <f t="shared" si="9"/>
        <v>-1.5060967443356752</v>
      </c>
      <c r="E68" s="45">
        <f t="shared" si="10"/>
        <v>2.2683274032985201</v>
      </c>
    </row>
    <row r="69" spans="1:5" x14ac:dyDescent="0.2">
      <c r="D69" s="45">
        <f t="shared" si="9"/>
        <v>2.4209263992273886</v>
      </c>
      <c r="E69" s="45">
        <f t="shared" si="10"/>
        <v>5.8608846304760895</v>
      </c>
    </row>
    <row r="70" spans="1:5" x14ac:dyDescent="0.2">
      <c r="D70" s="45">
        <f t="shared" si="9"/>
        <v>-2.3274638666442318</v>
      </c>
      <c r="E70" s="45">
        <f t="shared" si="10"/>
        <v>5.4170880505345185</v>
      </c>
    </row>
    <row r="71" spans="1:5" x14ac:dyDescent="0.2">
      <c r="D71" s="45">
        <f t="shared" si="9"/>
        <v>-9.1417060892302615E-2</v>
      </c>
      <c r="E71" s="45">
        <f t="shared" si="10"/>
        <v>8.357079022186964E-3</v>
      </c>
    </row>
    <row r="72" spans="1:5" x14ac:dyDescent="0.2">
      <c r="D72" s="45">
        <f t="shared" si="9"/>
        <v>1.4741139866601802</v>
      </c>
      <c r="E72" s="45">
        <f t="shared" si="10"/>
        <v>2.17301204566717</v>
      </c>
    </row>
    <row r="76" spans="1:5" x14ac:dyDescent="0.2">
      <c r="A76" t="s">
        <v>86</v>
      </c>
      <c r="E76" t="s">
        <v>87</v>
      </c>
    </row>
    <row r="77" spans="1:5" x14ac:dyDescent="0.2">
      <c r="E77" t="s">
        <v>88</v>
      </c>
    </row>
    <row r="78" spans="1:5" x14ac:dyDescent="0.2">
      <c r="E78" t="s">
        <v>89</v>
      </c>
    </row>
    <row r="82" spans="1:17" x14ac:dyDescent="0.2">
      <c r="A82" s="21" t="s">
        <v>90</v>
      </c>
    </row>
    <row r="86" spans="1:17" x14ac:dyDescent="0.2">
      <c r="B86" s="43" t="s">
        <v>91</v>
      </c>
      <c r="C86" s="69" t="s">
        <v>0</v>
      </c>
      <c r="D86" s="69" t="s">
        <v>1</v>
      </c>
      <c r="E86" s="69" t="s">
        <v>2</v>
      </c>
      <c r="F86" s="69" t="s">
        <v>4</v>
      </c>
      <c r="G86" s="69" t="s">
        <v>3</v>
      </c>
      <c r="H86" s="39" t="s">
        <v>14</v>
      </c>
      <c r="I86" s="39" t="s">
        <v>92</v>
      </c>
      <c r="K86" s="47" t="s">
        <v>93</v>
      </c>
      <c r="N86" s="1"/>
    </row>
    <row r="87" spans="1:17" x14ac:dyDescent="0.2">
      <c r="B87">
        <v>1</v>
      </c>
      <c r="C87" s="68">
        <v>1</v>
      </c>
      <c r="D87" s="68">
        <v>1</v>
      </c>
      <c r="E87" s="68">
        <v>1</v>
      </c>
      <c r="F87" s="68">
        <v>1</v>
      </c>
      <c r="G87" s="68">
        <v>1</v>
      </c>
      <c r="H87" s="74">
        <v>1</v>
      </c>
      <c r="I87" s="40">
        <v>3.61</v>
      </c>
      <c r="N87" s="41"/>
    </row>
    <row r="88" spans="1:17" x14ac:dyDescent="0.2">
      <c r="B88">
        <v>2</v>
      </c>
      <c r="C88" s="68">
        <v>1</v>
      </c>
      <c r="D88" s="68">
        <v>2</v>
      </c>
      <c r="E88" s="68">
        <v>2</v>
      </c>
      <c r="F88" s="68">
        <v>2</v>
      </c>
      <c r="G88" s="68">
        <v>2</v>
      </c>
      <c r="H88" s="74"/>
      <c r="I88" s="40">
        <v>2.74</v>
      </c>
      <c r="K88" s="57" t="s">
        <v>94</v>
      </c>
      <c r="L88" s="40" t="s">
        <v>95</v>
      </c>
      <c r="M88" s="40" t="s">
        <v>96</v>
      </c>
      <c r="N88" s="40" t="s">
        <v>97</v>
      </c>
      <c r="O88" s="40" t="s">
        <v>98</v>
      </c>
      <c r="Q88" s="45"/>
    </row>
    <row r="89" spans="1:17" x14ac:dyDescent="0.2">
      <c r="B89">
        <v>3</v>
      </c>
      <c r="C89" s="68">
        <v>2</v>
      </c>
      <c r="D89" s="68">
        <v>1</v>
      </c>
      <c r="E89" s="68">
        <v>2</v>
      </c>
      <c r="F89" s="68">
        <v>1</v>
      </c>
      <c r="G89" s="68">
        <v>2</v>
      </c>
      <c r="H89" s="74"/>
      <c r="I89" s="40">
        <v>1.54</v>
      </c>
      <c r="K89" s="40" t="s">
        <v>99</v>
      </c>
      <c r="L89" s="58">
        <f>AVERAGE(I87:I88)-($I$120+$C$125+H125)</f>
        <v>-0.25562500000000021</v>
      </c>
      <c r="M89" s="58">
        <f>AVERAGE(I95:I96)-($I$120+$C$125+H126)</f>
        <v>-0.19437499999999996</v>
      </c>
      <c r="N89" s="58">
        <f>AVERAGE(I103:I104)-($I$120+$C$125+H127)</f>
        <v>0.38062500000000021</v>
      </c>
      <c r="O89" s="58">
        <f>AVERAGE(I111:I112)-($I$120+$C$125+H128)</f>
        <v>6.9374999999999076E-2</v>
      </c>
    </row>
    <row r="90" spans="1:17" x14ac:dyDescent="0.2">
      <c r="B90">
        <v>4</v>
      </c>
      <c r="C90" s="68">
        <v>2</v>
      </c>
      <c r="D90" s="68">
        <v>2</v>
      </c>
      <c r="E90" s="68">
        <v>1</v>
      </c>
      <c r="F90" s="68">
        <v>2</v>
      </c>
      <c r="G90" s="68">
        <v>1</v>
      </c>
      <c r="H90" s="74"/>
      <c r="I90" s="40">
        <v>3.35</v>
      </c>
      <c r="K90" s="40" t="s">
        <v>100</v>
      </c>
      <c r="L90" s="58">
        <f>AVERAGE(I89:I90)-($I$120+C126+H125)</f>
        <v>0.2018749999999998</v>
      </c>
      <c r="M90" s="58">
        <f>AVERAGE(I97:I98)-($I$120+$C$126+H126)</f>
        <v>2.3124999999998952E-2</v>
      </c>
      <c r="N90" s="58">
        <f>AVERAGE(I105:I106)-($I$120+$C$126+H127)</f>
        <v>-0.66187499999999977</v>
      </c>
      <c r="O90" s="58">
        <f>AVERAGE(I113:I114)-($I$120+$C$126+H128)</f>
        <v>0.43687499999999924</v>
      </c>
    </row>
    <row r="91" spans="1:17" x14ac:dyDescent="0.2">
      <c r="B91">
        <v>5</v>
      </c>
      <c r="C91" s="68">
        <v>3</v>
      </c>
      <c r="D91" s="68">
        <v>1</v>
      </c>
      <c r="E91" s="68">
        <v>2</v>
      </c>
      <c r="F91" s="68">
        <v>2</v>
      </c>
      <c r="G91" s="68">
        <v>1</v>
      </c>
      <c r="H91" s="74"/>
      <c r="I91" s="40">
        <v>1.72</v>
      </c>
      <c r="K91" s="40" t="s">
        <v>101</v>
      </c>
      <c r="L91" s="58">
        <f>AVERAGE(I91:I92)-($I$120+C127+H125)</f>
        <v>-0.14312500000000039</v>
      </c>
      <c r="M91" s="58">
        <f>AVERAGE(I99:I100)-($I$120+$C$127+H126)</f>
        <v>0.16312499999999908</v>
      </c>
      <c r="N91" s="58">
        <f>AVERAGE(I107:I108)-($I$120+$C$127+H127)</f>
        <v>0.27312500000000028</v>
      </c>
      <c r="O91" s="58">
        <f>AVERAGE(I115:I116)-($I$120+$C$127+H128)</f>
        <v>-0.29312500000000119</v>
      </c>
    </row>
    <row r="92" spans="1:17" x14ac:dyDescent="0.2">
      <c r="B92">
        <v>6</v>
      </c>
      <c r="C92" s="68">
        <v>3</v>
      </c>
      <c r="D92" s="68">
        <v>2</v>
      </c>
      <c r="E92" s="68">
        <v>1</v>
      </c>
      <c r="F92" s="68">
        <v>1</v>
      </c>
      <c r="G92" s="68">
        <v>2</v>
      </c>
      <c r="H92" s="74"/>
      <c r="I92" s="40">
        <v>3.27</v>
      </c>
      <c r="K92" s="40" t="s">
        <v>102</v>
      </c>
      <c r="L92" s="58">
        <f>AVERAGE(I93:I94)-($I$120+C128+H125)</f>
        <v>0.19687499999999991</v>
      </c>
      <c r="M92" s="58">
        <f>AVERAGE(I101:I102)-($I$120+$C$128+H126)</f>
        <v>8.1249999999997158E-3</v>
      </c>
      <c r="N92" s="58">
        <f>AVERAGE(I109:I110)-($I$120+$C$128+H127)</f>
        <v>8.1250000000001599E-3</v>
      </c>
      <c r="O92" s="58">
        <f>AVERAGE(I117:I118)-($I$120+$C$128+H128)</f>
        <v>-0.21312500000000068</v>
      </c>
    </row>
    <row r="93" spans="1:17" x14ac:dyDescent="0.2">
      <c r="B93">
        <v>7</v>
      </c>
      <c r="C93" s="68">
        <v>4</v>
      </c>
      <c r="D93" s="68">
        <v>1</v>
      </c>
      <c r="E93" s="68">
        <v>1</v>
      </c>
      <c r="F93" s="68">
        <v>2</v>
      </c>
      <c r="G93" s="68">
        <v>2</v>
      </c>
      <c r="H93" s="74"/>
      <c r="I93" s="40">
        <v>2.81</v>
      </c>
      <c r="K93" s="59"/>
      <c r="L93" s="59"/>
      <c r="M93" s="59"/>
      <c r="N93" s="59"/>
      <c r="O93" s="59"/>
    </row>
    <row r="94" spans="1:17" x14ac:dyDescent="0.2">
      <c r="B94">
        <v>8</v>
      </c>
      <c r="C94" s="68">
        <v>4</v>
      </c>
      <c r="D94" s="68">
        <v>2</v>
      </c>
      <c r="E94" s="68">
        <v>2</v>
      </c>
      <c r="F94" s="68">
        <v>1</v>
      </c>
      <c r="G94" s="68">
        <v>1</v>
      </c>
      <c r="H94" s="74"/>
      <c r="I94" s="40">
        <v>2.23</v>
      </c>
      <c r="K94" s="57" t="s">
        <v>103</v>
      </c>
      <c r="L94" s="40" t="s">
        <v>95</v>
      </c>
      <c r="M94" s="40" t="s">
        <v>96</v>
      </c>
      <c r="N94" s="40" t="s">
        <v>97</v>
      </c>
      <c r="O94" s="40" t="s">
        <v>98</v>
      </c>
    </row>
    <row r="95" spans="1:17" x14ac:dyDescent="0.2">
      <c r="B95">
        <f>B94+1</f>
        <v>9</v>
      </c>
      <c r="C95" s="70">
        <v>1</v>
      </c>
      <c r="D95" s="70">
        <v>1</v>
      </c>
      <c r="E95" s="70">
        <v>1</v>
      </c>
      <c r="F95" s="70">
        <v>1</v>
      </c>
      <c r="G95" s="70">
        <v>1</v>
      </c>
      <c r="H95" s="74">
        <v>2</v>
      </c>
      <c r="I95" s="40">
        <v>4.29</v>
      </c>
      <c r="J95" s="60"/>
      <c r="K95" s="40" t="s">
        <v>104</v>
      </c>
      <c r="L95" s="58">
        <f>AVERAGE(I87,I89,I91,I93)-($I$120+H125+D125)</f>
        <v>9.375E-2</v>
      </c>
      <c r="M95" s="58">
        <f>AVERAGE(I95,I97,I99,I101)-($I$120+$H$126+D125)</f>
        <v>0.16999999999999948</v>
      </c>
      <c r="N95" s="58">
        <f>AVERAGE(I103,I105,I107,I109)-($I$120+$H$127+D125)</f>
        <v>8.2500000000000462E-2</v>
      </c>
      <c r="O95" s="58">
        <f>AVERAGE(I111,I113,I115,I117)-($I$120+$H$128+D125)</f>
        <v>-0.34625000000000039</v>
      </c>
      <c r="Q95" s="45"/>
    </row>
    <row r="96" spans="1:17" x14ac:dyDescent="0.2">
      <c r="B96">
        <f t="shared" ref="B96:B118" si="11">B95+1</f>
        <v>10</v>
      </c>
      <c r="C96" s="70">
        <v>1</v>
      </c>
      <c r="D96" s="70">
        <v>2</v>
      </c>
      <c r="E96" s="70">
        <v>2</v>
      </c>
      <c r="F96" s="70">
        <v>2</v>
      </c>
      <c r="G96" s="70">
        <v>2</v>
      </c>
      <c r="H96" s="74"/>
      <c r="I96" s="40">
        <v>3.76</v>
      </c>
      <c r="J96" s="60"/>
      <c r="K96" s="40" t="s">
        <v>105</v>
      </c>
      <c r="L96" s="58">
        <f>AVERAGE(I88,I90,I92,I94)-($I$120+H125+D126)</f>
        <v>-9.3750000000000888E-2</v>
      </c>
      <c r="M96" s="58">
        <f>AVERAGE(I96,I98,I100,I102)-($I$120+$H$126+D126)</f>
        <v>-0.17000000000000082</v>
      </c>
      <c r="N96" s="58">
        <f>AVERAGE(I104,I106,I108,I110)-($I$120+$H$127+D126)</f>
        <v>-8.2500000000000462E-2</v>
      </c>
      <c r="O96" s="58">
        <f>AVERAGE(I112,I114,I116,I118)-($I$120+$H$128+D126)</f>
        <v>0.34624999999999861</v>
      </c>
    </row>
    <row r="97" spans="2:15" x14ac:dyDescent="0.2">
      <c r="B97">
        <f t="shared" si="11"/>
        <v>11</v>
      </c>
      <c r="C97" s="70">
        <v>2</v>
      </c>
      <c r="D97" s="70">
        <v>1</v>
      </c>
      <c r="E97" s="70">
        <v>2</v>
      </c>
      <c r="F97" s="70">
        <v>1</v>
      </c>
      <c r="G97" s="70">
        <v>2</v>
      </c>
      <c r="H97" s="74"/>
      <c r="I97" s="40">
        <v>1.8</v>
      </c>
      <c r="K97" s="59"/>
      <c r="L97" s="59"/>
      <c r="M97" s="59"/>
      <c r="N97" s="59"/>
      <c r="O97" s="59"/>
    </row>
    <row r="98" spans="2:15" x14ac:dyDescent="0.2">
      <c r="B98">
        <f t="shared" si="11"/>
        <v>12</v>
      </c>
      <c r="C98" s="70">
        <v>2</v>
      </c>
      <c r="D98" s="70">
        <v>2</v>
      </c>
      <c r="E98" s="70">
        <v>1</v>
      </c>
      <c r="F98" s="70">
        <v>2</v>
      </c>
      <c r="G98" s="70">
        <v>1</v>
      </c>
      <c r="H98" s="74"/>
      <c r="I98" s="40">
        <v>4.3099999999999996</v>
      </c>
      <c r="K98" s="57" t="s">
        <v>106</v>
      </c>
      <c r="L98" s="40" t="s">
        <v>95</v>
      </c>
      <c r="M98" s="40" t="s">
        <v>96</v>
      </c>
      <c r="N98" s="40" t="s">
        <v>97</v>
      </c>
      <c r="O98" s="40" t="s">
        <v>98</v>
      </c>
    </row>
    <row r="99" spans="2:15" x14ac:dyDescent="0.2">
      <c r="B99">
        <f t="shared" si="11"/>
        <v>13</v>
      </c>
      <c r="C99" s="70">
        <v>3</v>
      </c>
      <c r="D99" s="70">
        <v>1</v>
      </c>
      <c r="E99" s="70">
        <v>2</v>
      </c>
      <c r="F99" s="70">
        <v>2</v>
      </c>
      <c r="G99" s="70">
        <v>1</v>
      </c>
      <c r="H99" s="74"/>
      <c r="I99" s="40">
        <v>3.03</v>
      </c>
      <c r="K99" s="40" t="s">
        <v>107</v>
      </c>
      <c r="L99" s="58">
        <f>AVERAGE(I87,I90,I92:I93)-($I$120+H125+E125)</f>
        <v>-1.1249999999999982E-2</v>
      </c>
      <c r="M99" s="58">
        <f>AVERAGE(I95,I98,I100:I101)-($I$120+H126+E125)</f>
        <v>0.1324999999999994</v>
      </c>
      <c r="N99" s="58">
        <f>AVERAGE(I103,I106,I108:I109)-($I$120+H127+E125)</f>
        <v>-0.20749999999999957</v>
      </c>
      <c r="O99" s="58">
        <f>AVERAGE(I111,I114,I116:I117)-($I$120+H128+E125)</f>
        <v>8.6249999999999716E-2</v>
      </c>
    </row>
    <row r="100" spans="2:15" x14ac:dyDescent="0.2">
      <c r="B100">
        <f t="shared" si="11"/>
        <v>14</v>
      </c>
      <c r="C100" s="70">
        <v>3</v>
      </c>
      <c r="D100" s="70">
        <v>2</v>
      </c>
      <c r="E100" s="70">
        <v>1</v>
      </c>
      <c r="F100" s="70">
        <v>1</v>
      </c>
      <c r="G100" s="70">
        <v>2</v>
      </c>
      <c r="H100" s="74"/>
      <c r="I100" s="40">
        <v>4.1500000000000004</v>
      </c>
      <c r="K100" s="40" t="s">
        <v>108</v>
      </c>
      <c r="L100" s="58">
        <f>AVERAGE(I88:I89,I91,I94)-($I$120+H125+E126)</f>
        <v>1.1249999999999538E-2</v>
      </c>
      <c r="M100" s="58">
        <f>AVERAGE(I96:I97,I99,I102)-($I$120+H126+E126)</f>
        <v>-0.13250000000000073</v>
      </c>
      <c r="N100" s="58">
        <f>AVERAGE(I104:I105,I107,I110)-($I$120+H127+E126)</f>
        <v>0.20749999999999957</v>
      </c>
      <c r="O100" s="58">
        <f>AVERAGE(I112:I113,I115,I118)-($I$120+H128+E126)</f>
        <v>-8.6250000000001048E-2</v>
      </c>
    </row>
    <row r="101" spans="2:15" x14ac:dyDescent="0.2">
      <c r="B101">
        <f t="shared" si="11"/>
        <v>15</v>
      </c>
      <c r="C101" s="70">
        <v>4</v>
      </c>
      <c r="D101" s="70">
        <v>1</v>
      </c>
      <c r="E101" s="70">
        <v>1</v>
      </c>
      <c r="F101" s="70">
        <v>2</v>
      </c>
      <c r="G101" s="70">
        <v>2</v>
      </c>
      <c r="H101" s="74"/>
      <c r="I101" s="40">
        <v>4.0199999999999996</v>
      </c>
    </row>
    <row r="102" spans="2:15" x14ac:dyDescent="0.2">
      <c r="B102">
        <f t="shared" si="11"/>
        <v>16</v>
      </c>
      <c r="C102" s="70">
        <v>4</v>
      </c>
      <c r="D102" s="70">
        <v>2</v>
      </c>
      <c r="E102" s="70">
        <v>2</v>
      </c>
      <c r="F102" s="70">
        <v>1</v>
      </c>
      <c r="G102" s="70">
        <v>1</v>
      </c>
      <c r="H102" s="74"/>
      <c r="I102" s="40">
        <v>2.2200000000000002</v>
      </c>
      <c r="K102" s="61"/>
      <c r="L102" s="60"/>
      <c r="M102" s="60"/>
      <c r="N102" s="60"/>
      <c r="O102" s="60"/>
    </row>
    <row r="103" spans="2:15" x14ac:dyDescent="0.2">
      <c r="B103">
        <f t="shared" si="11"/>
        <v>17</v>
      </c>
      <c r="C103" s="71">
        <v>1</v>
      </c>
      <c r="D103" s="71">
        <v>1</v>
      </c>
      <c r="E103" s="71">
        <v>1</v>
      </c>
      <c r="F103" s="71">
        <v>1</v>
      </c>
      <c r="G103" s="71">
        <v>1</v>
      </c>
      <c r="H103" s="74">
        <v>3</v>
      </c>
      <c r="I103" s="40">
        <v>5.17</v>
      </c>
      <c r="K103" s="60"/>
      <c r="L103" s="62"/>
      <c r="M103" s="62"/>
      <c r="N103" s="62"/>
      <c r="O103" s="62"/>
    </row>
    <row r="104" spans="2:15" x14ac:dyDescent="0.2">
      <c r="B104">
        <f t="shared" si="11"/>
        <v>18</v>
      </c>
      <c r="C104" s="71">
        <v>1</v>
      </c>
      <c r="D104" s="71">
        <v>2</v>
      </c>
      <c r="E104" s="71">
        <v>2</v>
      </c>
      <c r="F104" s="71">
        <v>2</v>
      </c>
      <c r="G104" s="71">
        <v>2</v>
      </c>
      <c r="H104" s="74"/>
      <c r="I104" s="40">
        <v>4.68</v>
      </c>
      <c r="K104" s="60"/>
      <c r="L104" s="62"/>
      <c r="M104" s="62"/>
      <c r="N104" s="62"/>
      <c r="O104" s="62"/>
    </row>
    <row r="105" spans="2:15" x14ac:dyDescent="0.2">
      <c r="B105">
        <f t="shared" si="11"/>
        <v>19</v>
      </c>
      <c r="C105" s="71">
        <v>2</v>
      </c>
      <c r="D105" s="71">
        <v>1</v>
      </c>
      <c r="E105" s="71">
        <v>2</v>
      </c>
      <c r="F105" s="71">
        <v>1</v>
      </c>
      <c r="G105" s="71">
        <v>2</v>
      </c>
      <c r="H105" s="74"/>
      <c r="I105" s="40">
        <v>2.2200000000000002</v>
      </c>
    </row>
    <row r="106" spans="2:15" x14ac:dyDescent="0.2">
      <c r="B106">
        <f t="shared" si="11"/>
        <v>20</v>
      </c>
      <c r="C106" s="71">
        <v>2</v>
      </c>
      <c r="D106" s="71">
        <v>2</v>
      </c>
      <c r="E106" s="71">
        <v>1</v>
      </c>
      <c r="F106" s="71">
        <v>2</v>
      </c>
      <c r="G106" s="71">
        <v>1</v>
      </c>
      <c r="H106" s="74"/>
      <c r="I106" s="40">
        <v>3.17</v>
      </c>
      <c r="K106" s="61"/>
      <c r="L106" s="60"/>
      <c r="M106" s="60"/>
      <c r="N106" s="60"/>
      <c r="O106" s="60"/>
    </row>
    <row r="107" spans="2:15" x14ac:dyDescent="0.2">
      <c r="B107">
        <f t="shared" si="11"/>
        <v>21</v>
      </c>
      <c r="C107" s="71">
        <v>3</v>
      </c>
      <c r="D107" s="71">
        <v>1</v>
      </c>
      <c r="E107" s="71">
        <v>2</v>
      </c>
      <c r="F107" s="71">
        <v>2</v>
      </c>
      <c r="G107" s="71">
        <v>1</v>
      </c>
      <c r="H107" s="74"/>
      <c r="I107" s="40">
        <v>3.19</v>
      </c>
      <c r="K107" s="60"/>
      <c r="L107" s="62"/>
      <c r="M107" s="62"/>
      <c r="N107" s="62"/>
      <c r="O107" s="62"/>
    </row>
    <row r="108" spans="2:15" x14ac:dyDescent="0.2">
      <c r="B108">
        <f t="shared" si="11"/>
        <v>22</v>
      </c>
      <c r="C108" s="71">
        <v>3</v>
      </c>
      <c r="D108" s="71">
        <v>2</v>
      </c>
      <c r="E108" s="71">
        <v>1</v>
      </c>
      <c r="F108" s="71">
        <v>1</v>
      </c>
      <c r="G108" s="71">
        <v>2</v>
      </c>
      <c r="H108" s="74"/>
      <c r="I108" s="40">
        <v>4.8600000000000003</v>
      </c>
      <c r="K108" s="60"/>
      <c r="L108" s="62"/>
      <c r="M108" s="62"/>
      <c r="N108" s="62"/>
      <c r="O108" s="62"/>
    </row>
    <row r="109" spans="2:15" x14ac:dyDescent="0.2">
      <c r="B109">
        <f t="shared" si="11"/>
        <v>23</v>
      </c>
      <c r="C109" s="71">
        <v>4</v>
      </c>
      <c r="D109" s="71">
        <v>1</v>
      </c>
      <c r="E109" s="71">
        <v>1</v>
      </c>
      <c r="F109" s="71">
        <v>2</v>
      </c>
      <c r="G109" s="71">
        <v>2</v>
      </c>
      <c r="H109" s="74"/>
      <c r="I109" s="40">
        <v>3.51</v>
      </c>
    </row>
    <row r="110" spans="2:15" x14ac:dyDescent="0.2">
      <c r="B110">
        <f t="shared" si="11"/>
        <v>24</v>
      </c>
      <c r="C110" s="71">
        <v>4</v>
      </c>
      <c r="D110" s="71">
        <v>2</v>
      </c>
      <c r="E110" s="71">
        <v>2</v>
      </c>
      <c r="F110" s="71">
        <v>1</v>
      </c>
      <c r="G110" s="71">
        <v>1</v>
      </c>
      <c r="H110" s="74"/>
      <c r="I110" s="40">
        <v>3.38</v>
      </c>
    </row>
    <row r="111" spans="2:15" x14ac:dyDescent="0.2">
      <c r="B111">
        <f t="shared" si="11"/>
        <v>25</v>
      </c>
      <c r="C111" s="72">
        <v>1</v>
      </c>
      <c r="D111" s="72">
        <v>1</v>
      </c>
      <c r="E111" s="72">
        <v>1</v>
      </c>
      <c r="F111" s="72">
        <v>1</v>
      </c>
      <c r="G111" s="72">
        <v>1</v>
      </c>
      <c r="H111" s="74">
        <v>4</v>
      </c>
      <c r="I111" s="40">
        <v>4.7699999999999996</v>
      </c>
    </row>
    <row r="112" spans="2:15" x14ac:dyDescent="0.2">
      <c r="B112">
        <f t="shared" si="11"/>
        <v>26</v>
      </c>
      <c r="C112" s="72">
        <v>1</v>
      </c>
      <c r="D112" s="72">
        <v>2</v>
      </c>
      <c r="E112" s="72">
        <v>2</v>
      </c>
      <c r="F112" s="72">
        <v>2</v>
      </c>
      <c r="G112" s="72">
        <v>2</v>
      </c>
      <c r="H112" s="74"/>
      <c r="I112" s="40">
        <v>4.5999999999999996</v>
      </c>
    </row>
    <row r="113" spans="2:9" x14ac:dyDescent="0.2">
      <c r="B113">
        <f t="shared" si="11"/>
        <v>27</v>
      </c>
      <c r="C113" s="72">
        <v>2</v>
      </c>
      <c r="D113" s="72">
        <v>1</v>
      </c>
      <c r="E113" s="72">
        <v>2</v>
      </c>
      <c r="F113" s="72">
        <v>1</v>
      </c>
      <c r="G113" s="72">
        <v>2</v>
      </c>
      <c r="H113" s="74"/>
      <c r="I113" s="40">
        <v>2.75</v>
      </c>
    </row>
    <row r="114" spans="2:9" x14ac:dyDescent="0.2">
      <c r="B114">
        <f t="shared" si="11"/>
        <v>28</v>
      </c>
      <c r="C114" s="72">
        <v>2</v>
      </c>
      <c r="D114" s="72">
        <v>2</v>
      </c>
      <c r="E114" s="72">
        <v>1</v>
      </c>
      <c r="F114" s="72">
        <v>2</v>
      </c>
      <c r="G114" s="72">
        <v>1</v>
      </c>
      <c r="H114" s="74"/>
      <c r="I114" s="40">
        <v>4.9800000000000004</v>
      </c>
    </row>
    <row r="115" spans="2:9" x14ac:dyDescent="0.2">
      <c r="B115">
        <f t="shared" si="11"/>
        <v>29</v>
      </c>
      <c r="C115" s="72">
        <v>3</v>
      </c>
      <c r="D115" s="72">
        <v>1</v>
      </c>
      <c r="E115" s="72">
        <v>2</v>
      </c>
      <c r="F115" s="72">
        <v>2</v>
      </c>
      <c r="G115" s="72">
        <v>1</v>
      </c>
      <c r="H115" s="74"/>
      <c r="I115" s="40">
        <v>1.89</v>
      </c>
    </row>
    <row r="116" spans="2:9" x14ac:dyDescent="0.2">
      <c r="B116">
        <f t="shared" si="11"/>
        <v>30</v>
      </c>
      <c r="C116" s="72">
        <v>3</v>
      </c>
      <c r="D116" s="72">
        <v>2</v>
      </c>
      <c r="E116" s="72">
        <v>1</v>
      </c>
      <c r="F116" s="72">
        <v>1</v>
      </c>
      <c r="G116" s="72">
        <v>2</v>
      </c>
      <c r="H116" s="74"/>
      <c r="I116" s="40">
        <v>5.17</v>
      </c>
    </row>
    <row r="117" spans="2:9" x14ac:dyDescent="0.2">
      <c r="B117">
        <f t="shared" si="11"/>
        <v>31</v>
      </c>
      <c r="C117" s="72">
        <v>4</v>
      </c>
      <c r="D117" s="72">
        <v>1</v>
      </c>
      <c r="E117" s="72">
        <v>1</v>
      </c>
      <c r="F117" s="72">
        <v>2</v>
      </c>
      <c r="G117" s="72">
        <v>2</v>
      </c>
      <c r="H117" s="74"/>
      <c r="I117" s="40">
        <v>3.25</v>
      </c>
    </row>
    <row r="118" spans="2:9" x14ac:dyDescent="0.2">
      <c r="B118">
        <f t="shared" si="11"/>
        <v>32</v>
      </c>
      <c r="C118" s="72">
        <v>4</v>
      </c>
      <c r="D118" s="72">
        <v>2</v>
      </c>
      <c r="E118" s="72">
        <v>2</v>
      </c>
      <c r="F118" s="72">
        <v>1</v>
      </c>
      <c r="G118" s="72">
        <v>1</v>
      </c>
      <c r="H118" s="74"/>
      <c r="I118" s="40">
        <v>3.34</v>
      </c>
    </row>
    <row r="119" spans="2:9" x14ac:dyDescent="0.2">
      <c r="C119" t="s">
        <v>0</v>
      </c>
      <c r="D119" t="s">
        <v>1</v>
      </c>
      <c r="E119" t="s">
        <v>2</v>
      </c>
      <c r="F119" t="s">
        <v>3</v>
      </c>
      <c r="G119" t="s">
        <v>4</v>
      </c>
      <c r="H119" t="s">
        <v>14</v>
      </c>
      <c r="I119" s="43" t="s">
        <v>66</v>
      </c>
    </row>
    <row r="120" spans="2:9" x14ac:dyDescent="0.2">
      <c r="B120" s="8" t="s">
        <v>70</v>
      </c>
      <c r="C120" s="52">
        <f>AVERAGE(I87:I88,I95:I96,I103:I104,I111:I112)</f>
        <v>4.2024999999999997</v>
      </c>
      <c r="D120" s="52">
        <f>AVERAGE(I87,I89,I91,I93,I95,I97,I99,I101,I103,I105,I107,I109,I111,I113,I115,I117)</f>
        <v>3.0981249999999996</v>
      </c>
      <c r="E120" s="52">
        <f>AVERAGE(I87,I90,I92:I93,I95,I98,I100:I101,I103,I106,I108:I109,I111,I114,I116:I117)</f>
        <v>4.0431249999999999</v>
      </c>
      <c r="F120" s="52">
        <f>AVERAGE(I87,I89,I92,I94:I95,I97,I100,I102:I103,I105,I108,I110:I111,I113,I116,I118)</f>
        <v>3.4231250000000006</v>
      </c>
      <c r="G120" s="52">
        <f>AVERAGE(I87,I90:I91,I94:I95,I98:I99,I102:I103,I106:I107,I110:I111,I114:I115,I118)</f>
        <v>3.4156250000000004</v>
      </c>
      <c r="H120" s="52">
        <f>AVERAGE(I87:I94)</f>
        <v>2.6587499999999999</v>
      </c>
      <c r="I120" s="44">
        <f>AVERAGE(I87:I118)</f>
        <v>3.4306249999999996</v>
      </c>
    </row>
    <row r="121" spans="2:9" x14ac:dyDescent="0.2">
      <c r="B121" s="8" t="s">
        <v>71</v>
      </c>
      <c r="C121" s="52">
        <f>AVERAGE(I89:I90,I97:I98,I105:I106,I113:I114)</f>
        <v>3.0150000000000001</v>
      </c>
      <c r="D121" s="52">
        <f>AVERAGE(I88,I90,I92,I94,I96,I98,I100,I102,I104,I106,I108,I110,I112,I114,I116,I118)</f>
        <v>3.7631250000000005</v>
      </c>
      <c r="E121" s="52">
        <f>AVERAGE(I88:I89,I91,I94,I96:I97,I99,I102,I104:I105,I107,I110,I112:I113,I115,I118)</f>
        <v>2.8181250000000002</v>
      </c>
      <c r="F121" s="52">
        <f>AVERAGE(I88,I90:I91,I93,I96,I98:I99,I101,I104,I106:I107,I109,I112,I114:I115,I117)</f>
        <v>3.4381249999999994</v>
      </c>
      <c r="G121" s="52">
        <f>AVERAGE(I88:I89,I92:I93,I96:I97,I100:I101,I104:I105,I108:I109,I112:I113,I116:I117)</f>
        <v>3.4456250000000002</v>
      </c>
      <c r="H121" s="52">
        <f>AVERAGE(I95:I102)</f>
        <v>3.4475000000000002</v>
      </c>
    </row>
    <row r="122" spans="2:9" x14ac:dyDescent="0.2">
      <c r="B122" s="8" t="s">
        <v>72</v>
      </c>
      <c r="C122" s="52">
        <f>AVERAGE(I91:I92,I99:I100,I107:I108,I115:I116)</f>
        <v>3.41</v>
      </c>
      <c r="D122" s="52"/>
      <c r="E122" s="52"/>
      <c r="F122" s="52"/>
      <c r="G122" s="52"/>
      <c r="H122" s="52">
        <f>AVERAGE(I103:I110)</f>
        <v>3.7724999999999995</v>
      </c>
    </row>
    <row r="123" spans="2:9" x14ac:dyDescent="0.2">
      <c r="B123" s="8" t="s">
        <v>73</v>
      </c>
      <c r="C123" s="52">
        <f>AVERAGE(I117:I118,I109:I110,I101:I102,I93:I94)</f>
        <v>3.0949999999999998</v>
      </c>
      <c r="D123" s="52"/>
      <c r="E123" s="52"/>
      <c r="F123" s="52"/>
      <c r="G123" s="52"/>
      <c r="H123" s="52">
        <f>AVERAGE(I111:I118)</f>
        <v>3.8437500000000004</v>
      </c>
    </row>
    <row r="125" spans="2:9" x14ac:dyDescent="0.2">
      <c r="B125" s="8" t="s">
        <v>74</v>
      </c>
      <c r="C125" s="52">
        <f>C120-$I$120</f>
        <v>0.77187500000000009</v>
      </c>
      <c r="D125" s="73">
        <f t="shared" ref="D125:H126" si="12">D120-$I$120</f>
        <v>-0.33250000000000002</v>
      </c>
      <c r="E125" s="52">
        <f t="shared" si="12"/>
        <v>0.61250000000000027</v>
      </c>
      <c r="F125" s="52">
        <f t="shared" si="12"/>
        <v>-7.4999999999989519E-3</v>
      </c>
      <c r="G125" s="52">
        <f t="shared" si="12"/>
        <v>-1.4999999999999236E-2</v>
      </c>
      <c r="H125" s="52">
        <f t="shared" si="12"/>
        <v>-0.77187499999999964</v>
      </c>
    </row>
    <row r="126" spans="2:9" x14ac:dyDescent="0.2">
      <c r="B126" s="8" t="s">
        <v>75</v>
      </c>
      <c r="C126" s="73">
        <f>C121-$I$120</f>
        <v>-0.41562499999999947</v>
      </c>
      <c r="D126" s="52">
        <f t="shared" si="12"/>
        <v>0.33250000000000091</v>
      </c>
      <c r="E126" s="73">
        <f t="shared" si="12"/>
        <v>-0.61249999999999938</v>
      </c>
      <c r="F126" s="52">
        <f t="shared" si="12"/>
        <v>7.4999999999998401E-3</v>
      </c>
      <c r="G126" s="52">
        <f t="shared" si="12"/>
        <v>1.5000000000000568E-2</v>
      </c>
      <c r="H126" s="52">
        <f t="shared" si="12"/>
        <v>1.6875000000000639E-2</v>
      </c>
    </row>
    <row r="127" spans="2:9" x14ac:dyDescent="0.2">
      <c r="B127" s="8" t="s">
        <v>76</v>
      </c>
      <c r="C127" s="52">
        <f t="shared" ref="C127:C128" si="13">C122-$I$120</f>
        <v>-2.0624999999999449E-2</v>
      </c>
      <c r="D127" s="52"/>
      <c r="E127" s="52"/>
      <c r="F127" s="52"/>
      <c r="G127" s="52"/>
      <c r="H127" s="52">
        <f t="shared" ref="H127" si="14">H122-$I$120</f>
        <v>0.34187499999999993</v>
      </c>
    </row>
    <row r="128" spans="2:9" x14ac:dyDescent="0.2">
      <c r="B128" s="8" t="s">
        <v>77</v>
      </c>
      <c r="C128" s="52">
        <f t="shared" si="13"/>
        <v>-0.33562499999999984</v>
      </c>
      <c r="D128" s="52"/>
      <c r="E128" s="52"/>
      <c r="F128" s="52"/>
      <c r="G128" s="52"/>
      <c r="H128" s="52">
        <f>H123-$I$120</f>
        <v>0.41312500000000085</v>
      </c>
    </row>
    <row r="130" spans="1:16" x14ac:dyDescent="0.2">
      <c r="C130" s="63"/>
      <c r="H130" s="63"/>
    </row>
    <row r="132" spans="1:16" x14ac:dyDescent="0.2">
      <c r="A132" t="s">
        <v>109</v>
      </c>
    </row>
    <row r="133" spans="1:16" ht="34" x14ac:dyDescent="0.2">
      <c r="B133" s="43" t="s">
        <v>10</v>
      </c>
      <c r="C133" s="43" t="s">
        <v>11</v>
      </c>
      <c r="D133" s="43" t="s">
        <v>12</v>
      </c>
      <c r="E133" s="43" t="s">
        <v>13</v>
      </c>
      <c r="F133" s="43" t="s">
        <v>14</v>
      </c>
      <c r="G133" s="64" t="s">
        <v>78</v>
      </c>
      <c r="H133" s="76" t="s">
        <v>18</v>
      </c>
      <c r="I133" s="76"/>
    </row>
    <row r="134" spans="1:16" x14ac:dyDescent="0.2">
      <c r="B134" s="1" t="s">
        <v>0</v>
      </c>
      <c r="C134" s="52">
        <f>C148/C149*SUMSQ(C125:C128)</f>
        <v>7.0528374999999972</v>
      </c>
      <c r="D134" s="51">
        <f>C149-1</f>
        <v>3</v>
      </c>
      <c r="E134" s="52">
        <f>C134/D134</f>
        <v>2.3509458333333324</v>
      </c>
      <c r="F134" s="52">
        <f>E134/$E$143</f>
        <v>13.641522206909936</v>
      </c>
      <c r="G134" s="42">
        <v>4.07</v>
      </c>
      <c r="H134" s="78" t="s">
        <v>20</v>
      </c>
      <c r="I134" s="78"/>
    </row>
    <row r="135" spans="1:16" x14ac:dyDescent="0.2">
      <c r="B135" s="1" t="s">
        <v>1</v>
      </c>
      <c r="C135" s="52">
        <f>C148/C150*SUMSQ(D125:D126)</f>
        <v>3.5378000000000096</v>
      </c>
      <c r="D135" s="51">
        <f>C150-1</f>
        <v>1</v>
      </c>
      <c r="E135" s="52">
        <f t="shared" ref="E135:E140" si="15">C135/D135</f>
        <v>3.5378000000000096</v>
      </c>
      <c r="F135" s="52">
        <f t="shared" ref="F135" si="16">E135/$E$143</f>
        <v>20.528323783274232</v>
      </c>
      <c r="G135" s="42">
        <v>5.32</v>
      </c>
      <c r="H135" s="78" t="s">
        <v>20</v>
      </c>
      <c r="I135" s="78"/>
      <c r="O135" s="8" t="s">
        <v>113</v>
      </c>
      <c r="P135" t="s">
        <v>87</v>
      </c>
    </row>
    <row r="136" spans="1:16" x14ac:dyDescent="0.2">
      <c r="B136" s="1" t="s">
        <v>2</v>
      </c>
      <c r="C136" s="52">
        <f>C148/C151*SUMSQ(E125:E126)</f>
        <v>12.004999999999992</v>
      </c>
      <c r="D136" s="51">
        <f>C151-1</f>
        <v>1</v>
      </c>
      <c r="E136" s="52">
        <f t="shared" si="15"/>
        <v>12.004999999999992</v>
      </c>
      <c r="F136" s="52">
        <f>E136/$E$143</f>
        <v>69.65982447232922</v>
      </c>
      <c r="G136" s="42">
        <v>5.32</v>
      </c>
      <c r="H136" s="78" t="s">
        <v>20</v>
      </c>
      <c r="I136" s="78"/>
      <c r="P136" t="s">
        <v>88</v>
      </c>
    </row>
    <row r="137" spans="1:16" x14ac:dyDescent="0.2">
      <c r="B137" s="53" t="s">
        <v>3</v>
      </c>
      <c r="C137" s="54">
        <f>C148/(C149*C150)*SUMSQ(F125:F126)</f>
        <v>4.4999999999992751E-4</v>
      </c>
      <c r="D137" s="55">
        <v>1</v>
      </c>
      <c r="E137" s="54"/>
      <c r="F137" s="54"/>
      <c r="G137" s="42"/>
      <c r="H137" s="51"/>
      <c r="P137" t="s">
        <v>89</v>
      </c>
    </row>
    <row r="138" spans="1:16" x14ac:dyDescent="0.2">
      <c r="B138" s="53" t="s">
        <v>4</v>
      </c>
      <c r="C138" s="54">
        <f>C148/(C149*C151)*SUMSQ(G125:G126)</f>
        <v>1.7999999999999765E-3</v>
      </c>
      <c r="D138" s="55">
        <v>1</v>
      </c>
      <c r="E138" s="54"/>
      <c r="F138" s="54"/>
      <c r="G138" s="42"/>
      <c r="H138" s="51"/>
    </row>
    <row r="139" spans="1:16" x14ac:dyDescent="0.2">
      <c r="B139" s="1" t="s">
        <v>14</v>
      </c>
      <c r="C139" s="52">
        <f>C148/C152*SUMSQ(H125:H128)</f>
        <v>7.0690125000000013</v>
      </c>
      <c r="D139" s="51">
        <f>C152-1</f>
        <v>3</v>
      </c>
      <c r="E139" s="52">
        <f t="shared" si="15"/>
        <v>2.3563375000000004</v>
      </c>
      <c r="F139" s="52">
        <f>E139/$E$143</f>
        <v>13.672807717415008</v>
      </c>
      <c r="G139" s="42">
        <v>4.07</v>
      </c>
      <c r="H139" s="78" t="s">
        <v>20</v>
      </c>
      <c r="I139" s="78"/>
    </row>
    <row r="140" spans="1:16" x14ac:dyDescent="0.2">
      <c r="B140" s="1" t="s">
        <v>94</v>
      </c>
      <c r="C140" s="52">
        <f>(C148/(C149*C152))*SUMSQ(L89:O92)</f>
        <v>2.4299375000000003</v>
      </c>
      <c r="D140" s="51">
        <f>D134*D139</f>
        <v>9</v>
      </c>
      <c r="E140" s="52">
        <f t="shared" si="15"/>
        <v>0.26999305555555558</v>
      </c>
      <c r="F140" s="52">
        <f>E140/$E$143</f>
        <v>1.5666529661597539</v>
      </c>
      <c r="G140" s="42">
        <v>3.39</v>
      </c>
      <c r="H140" s="79" t="s">
        <v>21</v>
      </c>
      <c r="I140" s="79"/>
    </row>
    <row r="141" spans="1:16" x14ac:dyDescent="0.2">
      <c r="B141" s="1" t="s">
        <v>103</v>
      </c>
      <c r="C141" s="52">
        <f>(C148/(C150*C152))*SUMSQ(L95:O96)</f>
        <v>1.3150749999999989</v>
      </c>
      <c r="D141" s="51">
        <f>D135*D139</f>
        <v>3</v>
      </c>
      <c r="E141" s="52">
        <f>C141/D141</f>
        <v>0.43835833333333296</v>
      </c>
      <c r="F141" s="52">
        <f>E141/$E$143</f>
        <v>2.5436038780493773</v>
      </c>
      <c r="G141" s="42">
        <v>4.07</v>
      </c>
      <c r="H141" s="79" t="s">
        <v>21</v>
      </c>
      <c r="I141" s="79"/>
    </row>
    <row r="142" spans="1:16" x14ac:dyDescent="0.2">
      <c r="B142" s="1" t="s">
        <v>106</v>
      </c>
      <c r="C142" s="52">
        <f>(C148/(C151*C152))*SUMSQ(L99:O100)</f>
        <v>0.54542499999999927</v>
      </c>
      <c r="D142" s="51">
        <f>D136*D139</f>
        <v>3</v>
      </c>
      <c r="E142" s="52">
        <f>C142/D142</f>
        <v>0.1818083333333331</v>
      </c>
      <c r="F142" s="52">
        <f>E142/$E$143</f>
        <v>1.0549551509876478</v>
      </c>
      <c r="G142" s="42">
        <v>4.07</v>
      </c>
      <c r="H142" s="79" t="s">
        <v>21</v>
      </c>
      <c r="I142" s="79"/>
    </row>
    <row r="143" spans="1:16" x14ac:dyDescent="0.2">
      <c r="B143" s="1" t="s">
        <v>79</v>
      </c>
      <c r="C143" s="52">
        <f>C144-SUM(C134:C136,C139:C142)</f>
        <v>1.3786999999999949</v>
      </c>
      <c r="D143" s="51">
        <f>D144-SUM(D134:D136,D139:D142)</f>
        <v>8</v>
      </c>
      <c r="E143" s="52">
        <f>C143/D143</f>
        <v>0.17233749999999937</v>
      </c>
      <c r="F143" s="52"/>
      <c r="G143" s="52"/>
      <c r="H143" s="51"/>
    </row>
    <row r="144" spans="1:16" x14ac:dyDescent="0.2">
      <c r="B144" s="1" t="s">
        <v>17</v>
      </c>
      <c r="C144" s="52">
        <f>SUM(E149:E180)</f>
        <v>35.3337875</v>
      </c>
      <c r="D144" s="51">
        <f>C148-1</f>
        <v>31</v>
      </c>
      <c r="E144" s="52"/>
      <c r="F144" s="52"/>
      <c r="G144" s="52"/>
      <c r="H144" s="51"/>
    </row>
    <row r="148" spans="2:5" x14ac:dyDescent="0.2">
      <c r="B148" s="8" t="s">
        <v>80</v>
      </c>
      <c r="C148" s="47">
        <v>32</v>
      </c>
      <c r="D148" s="1" t="s">
        <v>110</v>
      </c>
      <c r="E148" s="1" t="s">
        <v>111</v>
      </c>
    </row>
    <row r="149" spans="2:5" x14ac:dyDescent="0.2">
      <c r="B149" s="8" t="s">
        <v>83</v>
      </c>
      <c r="C149" s="47">
        <f>4</f>
        <v>4</v>
      </c>
      <c r="D149" s="45">
        <f>I87-$I$120</f>
        <v>0.17937500000000028</v>
      </c>
      <c r="E149" s="45">
        <f>D149^2</f>
        <v>3.2175390625000105E-2</v>
      </c>
    </row>
    <row r="150" spans="2:5" x14ac:dyDescent="0.2">
      <c r="B150" s="8" t="s">
        <v>84</v>
      </c>
      <c r="C150" s="47">
        <v>2</v>
      </c>
      <c r="D150" s="45">
        <f>I88-$I$120</f>
        <v>-0.69062499999999938</v>
      </c>
      <c r="E150" s="45">
        <f t="shared" ref="E150:E179" si="17">D150^2</f>
        <v>0.47696289062499914</v>
      </c>
    </row>
    <row r="151" spans="2:5" x14ac:dyDescent="0.2">
      <c r="B151" s="8" t="s">
        <v>85</v>
      </c>
      <c r="C151" s="47">
        <v>2</v>
      </c>
      <c r="D151" s="45">
        <f t="shared" ref="D151:D179" si="18">I89-$I$120</f>
        <v>-1.8906249999999996</v>
      </c>
      <c r="E151" s="45">
        <f t="shared" si="17"/>
        <v>3.5744628906249982</v>
      </c>
    </row>
    <row r="152" spans="2:5" x14ac:dyDescent="0.2">
      <c r="B152" s="8" t="s">
        <v>112</v>
      </c>
      <c r="C152" s="47">
        <v>4</v>
      </c>
      <c r="D152" s="45">
        <f t="shared" si="18"/>
        <v>-8.0624999999999503E-2</v>
      </c>
      <c r="E152" s="45">
        <f t="shared" si="17"/>
        <v>6.5003906249999199E-3</v>
      </c>
    </row>
    <row r="153" spans="2:5" x14ac:dyDescent="0.2">
      <c r="C153" s="47"/>
      <c r="D153" s="45">
        <f t="shared" si="18"/>
        <v>-1.7106249999999996</v>
      </c>
      <c r="E153" s="45">
        <f t="shared" si="17"/>
        <v>2.9262378906249986</v>
      </c>
    </row>
    <row r="154" spans="2:5" x14ac:dyDescent="0.2">
      <c r="D154" s="45">
        <f t="shared" si="18"/>
        <v>-0.16062499999999957</v>
      </c>
      <c r="E154" s="45">
        <f t="shared" si="17"/>
        <v>2.5800390624999864E-2</v>
      </c>
    </row>
    <row r="155" spans="2:5" x14ac:dyDescent="0.2">
      <c r="D155" s="45">
        <f t="shared" si="18"/>
        <v>-0.62062499999999954</v>
      </c>
      <c r="E155" s="45">
        <f t="shared" si="17"/>
        <v>0.38517539062499945</v>
      </c>
    </row>
    <row r="156" spans="2:5" x14ac:dyDescent="0.2">
      <c r="D156" s="45">
        <f t="shared" si="18"/>
        <v>-1.2006249999999996</v>
      </c>
      <c r="E156" s="45">
        <f t="shared" si="17"/>
        <v>1.441500390624999</v>
      </c>
    </row>
    <row r="157" spans="2:5" x14ac:dyDescent="0.2">
      <c r="D157" s="45">
        <f t="shared" si="18"/>
        <v>0.85937500000000044</v>
      </c>
      <c r="E157" s="45">
        <f>D157^2</f>
        <v>0.73852539062500078</v>
      </c>
    </row>
    <row r="158" spans="2:5" x14ac:dyDescent="0.2">
      <c r="D158" s="45">
        <f t="shared" si="18"/>
        <v>0.3293750000000002</v>
      </c>
      <c r="E158" s="45">
        <f t="shared" si="17"/>
        <v>0.10848789062500012</v>
      </c>
    </row>
    <row r="159" spans="2:5" x14ac:dyDescent="0.2">
      <c r="D159" s="45">
        <f t="shared" si="18"/>
        <v>-1.6306249999999995</v>
      </c>
      <c r="E159" s="45">
        <f t="shared" si="17"/>
        <v>2.6589378906249985</v>
      </c>
    </row>
    <row r="160" spans="2:5" x14ac:dyDescent="0.2">
      <c r="D160" s="45">
        <f t="shared" si="18"/>
        <v>0.87937500000000002</v>
      </c>
      <c r="E160" s="45">
        <f t="shared" si="17"/>
        <v>0.773300390625</v>
      </c>
    </row>
    <row r="161" spans="4:5" x14ac:dyDescent="0.2">
      <c r="D161" s="45">
        <f t="shared" si="18"/>
        <v>-0.40062499999999979</v>
      </c>
      <c r="E161" s="45">
        <f t="shared" si="17"/>
        <v>0.16050039062499982</v>
      </c>
    </row>
    <row r="162" spans="4:5" x14ac:dyDescent="0.2">
      <c r="D162" s="45">
        <f t="shared" si="18"/>
        <v>0.71937500000000076</v>
      </c>
      <c r="E162" s="45">
        <f t="shared" si="17"/>
        <v>0.51750039062500108</v>
      </c>
    </row>
    <row r="163" spans="4:5" x14ac:dyDescent="0.2">
      <c r="D163" s="45">
        <f t="shared" si="18"/>
        <v>0.58937499999999998</v>
      </c>
      <c r="E163" s="45">
        <f t="shared" si="17"/>
        <v>0.34736289062499998</v>
      </c>
    </row>
    <row r="164" spans="4:5" x14ac:dyDescent="0.2">
      <c r="D164" s="45">
        <f t="shared" si="18"/>
        <v>-1.2106249999999994</v>
      </c>
      <c r="E164" s="45">
        <f t="shared" si="17"/>
        <v>1.4656128906249986</v>
      </c>
    </row>
    <row r="165" spans="4:5" x14ac:dyDescent="0.2">
      <c r="D165" s="45">
        <f t="shared" si="18"/>
        <v>1.7393750000000003</v>
      </c>
      <c r="E165" s="45">
        <f t="shared" si="17"/>
        <v>3.025425390625001</v>
      </c>
    </row>
    <row r="166" spans="4:5" x14ac:dyDescent="0.2">
      <c r="D166" s="45">
        <f t="shared" si="18"/>
        <v>1.2493750000000001</v>
      </c>
      <c r="E166" s="45">
        <f t="shared" si="17"/>
        <v>1.5609378906250002</v>
      </c>
    </row>
    <row r="167" spans="4:5" x14ac:dyDescent="0.2">
      <c r="D167" s="45">
        <f t="shared" si="18"/>
        <v>-1.2106249999999994</v>
      </c>
      <c r="E167" s="45">
        <f t="shared" si="17"/>
        <v>1.4656128906249986</v>
      </c>
    </row>
    <row r="168" spans="4:5" x14ac:dyDescent="0.2">
      <c r="D168" s="45">
        <f t="shared" si="18"/>
        <v>-0.26062499999999966</v>
      </c>
      <c r="E168" s="45">
        <f t="shared" si="17"/>
        <v>6.7925390624999818E-2</v>
      </c>
    </row>
    <row r="169" spans="4:5" x14ac:dyDescent="0.2">
      <c r="D169" s="45">
        <f t="shared" si="18"/>
        <v>-0.24062499999999964</v>
      </c>
      <c r="E169" s="45">
        <f t="shared" si="17"/>
        <v>5.7900390624999826E-2</v>
      </c>
    </row>
    <row r="170" spans="4:5" x14ac:dyDescent="0.2">
      <c r="D170" s="45">
        <f t="shared" si="18"/>
        <v>1.4293750000000007</v>
      </c>
      <c r="E170" s="45">
        <f t="shared" si="17"/>
        <v>2.043112890625002</v>
      </c>
    </row>
    <row r="171" spans="4:5" x14ac:dyDescent="0.2">
      <c r="D171" s="45">
        <f t="shared" si="18"/>
        <v>7.9375000000000195E-2</v>
      </c>
      <c r="E171" s="45">
        <f t="shared" si="17"/>
        <v>6.3003906250000312E-3</v>
      </c>
    </row>
    <row r="172" spans="4:5" x14ac:dyDescent="0.2">
      <c r="D172" s="45">
        <f t="shared" si="18"/>
        <v>-5.0624999999999698E-2</v>
      </c>
      <c r="E172" s="45">
        <f t="shared" si="17"/>
        <v>2.5628906249999693E-3</v>
      </c>
    </row>
    <row r="173" spans="4:5" x14ac:dyDescent="0.2">
      <c r="D173" s="45">
        <f t="shared" si="18"/>
        <v>1.339375</v>
      </c>
      <c r="E173" s="45">
        <f t="shared" si="17"/>
        <v>1.7939253906249999</v>
      </c>
    </row>
    <row r="174" spans="4:5" x14ac:dyDescent="0.2">
      <c r="D174" s="45">
        <f t="shared" si="18"/>
        <v>1.1693750000000001</v>
      </c>
      <c r="E174" s="45">
        <f t="shared" si="17"/>
        <v>1.3674378906250002</v>
      </c>
    </row>
    <row r="175" spans="4:5" x14ac:dyDescent="0.2">
      <c r="D175" s="45">
        <f t="shared" si="18"/>
        <v>-0.68062499999999959</v>
      </c>
      <c r="E175" s="45">
        <f t="shared" si="17"/>
        <v>0.46325039062499945</v>
      </c>
    </row>
    <row r="176" spans="4:5" x14ac:dyDescent="0.2">
      <c r="D176" s="45">
        <f t="shared" si="18"/>
        <v>1.5493750000000008</v>
      </c>
      <c r="E176" s="45">
        <f t="shared" si="17"/>
        <v>2.4005628906250025</v>
      </c>
    </row>
    <row r="177" spans="1:5" x14ac:dyDescent="0.2">
      <c r="D177" s="45">
        <f t="shared" si="18"/>
        <v>-1.5406249999999997</v>
      </c>
      <c r="E177" s="45">
        <f t="shared" si="17"/>
        <v>2.3735253906249989</v>
      </c>
    </row>
    <row r="178" spans="1:5" x14ac:dyDescent="0.2">
      <c r="D178" s="45">
        <f t="shared" si="18"/>
        <v>1.7393750000000003</v>
      </c>
      <c r="E178" s="45">
        <f t="shared" si="17"/>
        <v>3.025425390625001</v>
      </c>
    </row>
    <row r="179" spans="1:5" x14ac:dyDescent="0.2">
      <c r="D179" s="45">
        <f t="shared" si="18"/>
        <v>-0.18062499999999959</v>
      </c>
      <c r="E179" s="45">
        <f t="shared" si="17"/>
        <v>3.2625390624999855E-2</v>
      </c>
    </row>
    <row r="180" spans="1:5" x14ac:dyDescent="0.2">
      <c r="D180" s="45">
        <f>I118-$I$120</f>
        <v>-9.0624999999999734E-2</v>
      </c>
      <c r="E180" s="45">
        <f>D180^2</f>
        <v>8.2128906249999516E-3</v>
      </c>
    </row>
    <row r="181" spans="1:5" x14ac:dyDescent="0.2">
      <c r="D181" s="45"/>
    </row>
    <row r="182" spans="1:5" x14ac:dyDescent="0.2">
      <c r="D182" s="45"/>
    </row>
    <row r="183" spans="1:5" x14ac:dyDescent="0.2">
      <c r="D183" s="45"/>
    </row>
    <row r="186" spans="1:5" x14ac:dyDescent="0.2">
      <c r="A186" s="21" t="s">
        <v>114</v>
      </c>
    </row>
    <row r="188" spans="1:5" x14ac:dyDescent="0.2">
      <c r="A188" t="s">
        <v>115</v>
      </c>
    </row>
    <row r="190" spans="1:5" x14ac:dyDescent="0.2">
      <c r="A190" t="s">
        <v>86</v>
      </c>
      <c r="E190" t="s">
        <v>87</v>
      </c>
    </row>
    <row r="191" spans="1:5" x14ac:dyDescent="0.2">
      <c r="E191" t="s">
        <v>88</v>
      </c>
    </row>
    <row r="192" spans="1:5" x14ac:dyDescent="0.2">
      <c r="E192" t="s">
        <v>89</v>
      </c>
    </row>
    <row r="195" spans="1:5" x14ac:dyDescent="0.2">
      <c r="A195" s="47" t="s">
        <v>113</v>
      </c>
      <c r="E195" t="s">
        <v>87</v>
      </c>
    </row>
    <row r="196" spans="1:5" x14ac:dyDescent="0.2">
      <c r="E196" t="s">
        <v>88</v>
      </c>
    </row>
    <row r="197" spans="1:5" x14ac:dyDescent="0.2">
      <c r="E197" t="s">
        <v>89</v>
      </c>
    </row>
    <row r="200" spans="1:5" x14ac:dyDescent="0.2">
      <c r="A200" t="s">
        <v>116</v>
      </c>
    </row>
  </sheetData>
  <mergeCells count="21">
    <mergeCell ref="H142:I142"/>
    <mergeCell ref="H141:I141"/>
    <mergeCell ref="H133:I133"/>
    <mergeCell ref="H134:I134"/>
    <mergeCell ref="H135:I135"/>
    <mergeCell ref="H136:I136"/>
    <mergeCell ref="H139:I139"/>
    <mergeCell ref="H140:I140"/>
    <mergeCell ref="H111:H118"/>
    <mergeCell ref="H13:K13"/>
    <mergeCell ref="G54:H54"/>
    <mergeCell ref="I54:J54"/>
    <mergeCell ref="G55:H55"/>
    <mergeCell ref="I55:J55"/>
    <mergeCell ref="G56:H56"/>
    <mergeCell ref="I56:J56"/>
    <mergeCell ref="G57:H57"/>
    <mergeCell ref="I57:J57"/>
    <mergeCell ref="H87:H94"/>
    <mergeCell ref="H95:H102"/>
    <mergeCell ref="H103:H11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 1</vt:lpstr>
      <vt:lpstr>Exercice 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duruptam</dc:creator>
  <cp:lastModifiedBy>HNAIEN Faicel</cp:lastModifiedBy>
  <dcterms:created xsi:type="dcterms:W3CDTF">2015-03-03T09:26:42Z</dcterms:created>
  <dcterms:modified xsi:type="dcterms:W3CDTF">2026-05-20T07:56:03Z</dcterms:modified>
</cp:coreProperties>
</file>