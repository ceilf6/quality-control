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éo\Desktop\FQ01\"/>
    </mc:Choice>
  </mc:AlternateContent>
  <xr:revisionPtr revIDLastSave="0" documentId="8_{E4C6994B-CADD-4E7C-BC51-DE928A80E2B6}" xr6:coauthVersionLast="47" xr6:coauthVersionMax="47" xr10:uidLastSave="{00000000-0000-0000-0000-000000000000}"/>
  <bookViews>
    <workbookView xWindow="-108" yWindow="-108" windowWidth="23256" windowHeight="12576" activeTab="4" xr2:uid="{A6A02095-EEF3-EE4F-B80C-0C849B6A9857}"/>
  </bookViews>
  <sheets>
    <sheet name="n=1" sheetId="1" r:id="rId1"/>
    <sheet name="n=2" sheetId="2" r:id="rId2"/>
    <sheet name="n=4" sheetId="3" r:id="rId3"/>
    <sheet name="n=8" sheetId="4" r:id="rId4"/>
    <sheet name="ARL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6" l="1"/>
  <c r="I4" i="6"/>
  <c r="F3" i="6"/>
  <c r="C4" i="6"/>
  <c r="D4" i="6"/>
  <c r="E4" i="6"/>
  <c r="F4" i="6"/>
  <c r="C5" i="6"/>
  <c r="D5" i="6"/>
  <c r="E5" i="6"/>
  <c r="F5" i="6"/>
  <c r="C6" i="6"/>
  <c r="D6" i="6"/>
  <c r="E6" i="6"/>
  <c r="F6" i="6"/>
  <c r="C7" i="6"/>
  <c r="D7" i="6"/>
  <c r="E7" i="6"/>
  <c r="F7" i="6"/>
  <c r="D3" i="6"/>
  <c r="E3" i="6"/>
  <c r="C3" i="6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3" i="4"/>
  <c r="O2" i="4"/>
  <c r="H3" i="4" s="1"/>
  <c r="M2" i="4"/>
  <c r="B2" i="4"/>
  <c r="G2" i="4" s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O2" i="3"/>
  <c r="H3" i="3" s="1"/>
  <c r="M2" i="3"/>
  <c r="B2" i="3"/>
  <c r="G2" i="3" s="1"/>
  <c r="B4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2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3" i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3" i="1"/>
  <c r="G2" i="1"/>
  <c r="F2" i="1"/>
  <c r="E400" i="1"/>
  <c r="E399" i="1" s="1"/>
  <c r="E398" i="1" s="1"/>
  <c r="E397" i="1" s="1"/>
  <c r="E396" i="1" s="1"/>
  <c r="E395" i="1" s="1"/>
  <c r="E394" i="1" s="1"/>
  <c r="E393" i="1" s="1"/>
  <c r="E392" i="1" s="1"/>
  <c r="E391" i="1" s="1"/>
  <c r="E390" i="1" s="1"/>
  <c r="E389" i="1" s="1"/>
  <c r="E388" i="1" s="1"/>
  <c r="E387" i="1" s="1"/>
  <c r="E386" i="1" s="1"/>
  <c r="E385" i="1" s="1"/>
  <c r="E384" i="1" s="1"/>
  <c r="E383" i="1" s="1"/>
  <c r="E382" i="1" s="1"/>
  <c r="E381" i="1" s="1"/>
  <c r="E380" i="1" s="1"/>
  <c r="E379" i="1" s="1"/>
  <c r="E378" i="1" s="1"/>
  <c r="E377" i="1" s="1"/>
  <c r="E376" i="1" s="1"/>
  <c r="E375" i="1" s="1"/>
  <c r="E374" i="1" s="1"/>
  <c r="E373" i="1" s="1"/>
  <c r="E372" i="1" s="1"/>
  <c r="E371" i="1" s="1"/>
  <c r="E370" i="1" s="1"/>
  <c r="E369" i="1" s="1"/>
  <c r="E368" i="1" s="1"/>
  <c r="E367" i="1" s="1"/>
  <c r="E366" i="1" s="1"/>
  <c r="E365" i="1" s="1"/>
  <c r="E364" i="1" s="1"/>
  <c r="E363" i="1" s="1"/>
  <c r="E362" i="1" s="1"/>
  <c r="E361" i="1" s="1"/>
  <c r="E360" i="1" s="1"/>
  <c r="E359" i="1" s="1"/>
  <c r="E358" i="1" s="1"/>
  <c r="E357" i="1" s="1"/>
  <c r="E356" i="1" s="1"/>
  <c r="E355" i="1" s="1"/>
  <c r="E354" i="1" s="1"/>
  <c r="E353" i="1" s="1"/>
  <c r="E352" i="1" s="1"/>
  <c r="E351" i="1" s="1"/>
  <c r="E350" i="1" s="1"/>
  <c r="E349" i="1" s="1"/>
  <c r="E348" i="1" s="1"/>
  <c r="E347" i="1" s="1"/>
  <c r="E346" i="1" s="1"/>
  <c r="E345" i="1" s="1"/>
  <c r="E344" i="1" s="1"/>
  <c r="E343" i="1" s="1"/>
  <c r="E342" i="1" s="1"/>
  <c r="E341" i="1" s="1"/>
  <c r="E340" i="1" s="1"/>
  <c r="E339" i="1" s="1"/>
  <c r="E338" i="1" s="1"/>
  <c r="E337" i="1" s="1"/>
  <c r="E336" i="1" s="1"/>
  <c r="E335" i="1" s="1"/>
  <c r="E334" i="1" s="1"/>
  <c r="E333" i="1" s="1"/>
  <c r="E332" i="1" s="1"/>
  <c r="E331" i="1" s="1"/>
  <c r="E330" i="1" s="1"/>
  <c r="E329" i="1" s="1"/>
  <c r="E328" i="1" s="1"/>
  <c r="E327" i="1" s="1"/>
  <c r="E326" i="1" s="1"/>
  <c r="E325" i="1" s="1"/>
  <c r="E324" i="1" s="1"/>
  <c r="E323" i="1" s="1"/>
  <c r="E322" i="1" s="1"/>
  <c r="E321" i="1" s="1"/>
  <c r="E320" i="1" s="1"/>
  <c r="E319" i="1" s="1"/>
  <c r="E318" i="1" s="1"/>
  <c r="E317" i="1" s="1"/>
  <c r="E316" i="1" s="1"/>
  <c r="E315" i="1" s="1"/>
  <c r="E314" i="1" s="1"/>
  <c r="E313" i="1" s="1"/>
  <c r="E312" i="1" s="1"/>
  <c r="E311" i="1" s="1"/>
  <c r="E310" i="1" s="1"/>
  <c r="E309" i="1" s="1"/>
  <c r="E308" i="1" s="1"/>
  <c r="E307" i="1" s="1"/>
  <c r="E306" i="1" s="1"/>
  <c r="E305" i="1" s="1"/>
  <c r="E304" i="1" s="1"/>
  <c r="E303" i="1" s="1"/>
  <c r="E302" i="1" s="1"/>
  <c r="E301" i="1" s="1"/>
  <c r="E300" i="1" s="1"/>
  <c r="E299" i="1" s="1"/>
  <c r="E298" i="1" s="1"/>
  <c r="E297" i="1" s="1"/>
  <c r="E296" i="1" s="1"/>
  <c r="E295" i="1" s="1"/>
  <c r="E294" i="1" s="1"/>
  <c r="E293" i="1" s="1"/>
  <c r="E292" i="1" s="1"/>
  <c r="E291" i="1" s="1"/>
  <c r="E290" i="1" s="1"/>
  <c r="E289" i="1" s="1"/>
  <c r="E288" i="1" s="1"/>
  <c r="E287" i="1" s="1"/>
  <c r="E286" i="1" s="1"/>
  <c r="E285" i="1" s="1"/>
  <c r="E284" i="1" s="1"/>
  <c r="E283" i="1" s="1"/>
  <c r="E282" i="1" s="1"/>
  <c r="E281" i="1" s="1"/>
  <c r="E280" i="1" s="1"/>
  <c r="E279" i="1" s="1"/>
  <c r="E278" i="1" s="1"/>
  <c r="E277" i="1" s="1"/>
  <c r="E276" i="1" s="1"/>
  <c r="E275" i="1" s="1"/>
  <c r="E274" i="1" s="1"/>
  <c r="E273" i="1" s="1"/>
  <c r="E272" i="1" s="1"/>
  <c r="E271" i="1" s="1"/>
  <c r="E270" i="1" s="1"/>
  <c r="E269" i="1" s="1"/>
  <c r="E268" i="1" s="1"/>
  <c r="E267" i="1" s="1"/>
  <c r="E266" i="1" s="1"/>
  <c r="E265" i="1" s="1"/>
  <c r="E264" i="1" s="1"/>
  <c r="E263" i="1" s="1"/>
  <c r="E262" i="1" s="1"/>
  <c r="E261" i="1" s="1"/>
  <c r="E260" i="1" s="1"/>
  <c r="E259" i="1" s="1"/>
  <c r="E258" i="1" s="1"/>
  <c r="E257" i="1" s="1"/>
  <c r="E256" i="1" s="1"/>
  <c r="E255" i="1" s="1"/>
  <c r="E254" i="1" s="1"/>
  <c r="E253" i="1" s="1"/>
  <c r="E252" i="1" s="1"/>
  <c r="E251" i="1" s="1"/>
  <c r="E250" i="1" s="1"/>
  <c r="E249" i="1" s="1"/>
  <c r="E248" i="1" s="1"/>
  <c r="E247" i="1" s="1"/>
  <c r="E246" i="1" s="1"/>
  <c r="E245" i="1" s="1"/>
  <c r="E244" i="1" s="1"/>
  <c r="E243" i="1" s="1"/>
  <c r="E242" i="1" s="1"/>
  <c r="E241" i="1" s="1"/>
  <c r="E240" i="1" s="1"/>
  <c r="E239" i="1" s="1"/>
  <c r="E238" i="1" s="1"/>
  <c r="E237" i="1" s="1"/>
  <c r="E236" i="1" s="1"/>
  <c r="E235" i="1" s="1"/>
  <c r="E234" i="1" s="1"/>
  <c r="E233" i="1" s="1"/>
  <c r="E232" i="1" s="1"/>
  <c r="E231" i="1" s="1"/>
  <c r="E230" i="1" s="1"/>
  <c r="E229" i="1" s="1"/>
  <c r="E228" i="1" s="1"/>
  <c r="E227" i="1" s="1"/>
  <c r="E226" i="1" s="1"/>
  <c r="E225" i="1" s="1"/>
  <c r="E224" i="1" s="1"/>
  <c r="E223" i="1" s="1"/>
  <c r="E222" i="1" s="1"/>
  <c r="E221" i="1" s="1"/>
  <c r="E220" i="1" s="1"/>
  <c r="E219" i="1" s="1"/>
  <c r="E218" i="1" s="1"/>
  <c r="E217" i="1" s="1"/>
  <c r="E216" i="1" s="1"/>
  <c r="E215" i="1" s="1"/>
  <c r="E214" i="1" s="1"/>
  <c r="E213" i="1" s="1"/>
  <c r="E212" i="1" s="1"/>
  <c r="E211" i="1" s="1"/>
  <c r="E210" i="1" s="1"/>
  <c r="E209" i="1" s="1"/>
  <c r="E208" i="1" s="1"/>
  <c r="E207" i="1" s="1"/>
  <c r="E206" i="1" s="1"/>
  <c r="E205" i="1" s="1"/>
  <c r="E204" i="1" s="1"/>
  <c r="E203" i="1" s="1"/>
  <c r="E202" i="1" s="1"/>
  <c r="E201" i="1" s="1"/>
  <c r="E200" i="1" s="1"/>
  <c r="E199" i="1" s="1"/>
  <c r="E198" i="1" s="1"/>
  <c r="E197" i="1" s="1"/>
  <c r="E196" i="1" s="1"/>
  <c r="E195" i="1" s="1"/>
  <c r="E194" i="1" s="1"/>
  <c r="E193" i="1" s="1"/>
  <c r="E192" i="1" s="1"/>
  <c r="E191" i="1" s="1"/>
  <c r="E190" i="1" s="1"/>
  <c r="E189" i="1" s="1"/>
  <c r="E188" i="1" s="1"/>
  <c r="E187" i="1" s="1"/>
  <c r="E186" i="1" s="1"/>
  <c r="E185" i="1" s="1"/>
  <c r="E184" i="1" s="1"/>
  <c r="E183" i="1" s="1"/>
  <c r="E182" i="1" s="1"/>
  <c r="E181" i="1" s="1"/>
  <c r="E180" i="1" s="1"/>
  <c r="E179" i="1" s="1"/>
  <c r="E178" i="1" s="1"/>
  <c r="E177" i="1" s="1"/>
  <c r="E176" i="1" s="1"/>
  <c r="E175" i="1" s="1"/>
  <c r="E174" i="1" s="1"/>
  <c r="E173" i="1" s="1"/>
  <c r="E172" i="1" s="1"/>
  <c r="E171" i="1" s="1"/>
  <c r="E170" i="1" s="1"/>
  <c r="E169" i="1" s="1"/>
  <c r="E168" i="1" s="1"/>
  <c r="E167" i="1" s="1"/>
  <c r="E166" i="1" s="1"/>
  <c r="E165" i="1" s="1"/>
  <c r="E164" i="1" s="1"/>
  <c r="E163" i="1" s="1"/>
  <c r="E162" i="1" s="1"/>
  <c r="E161" i="1" s="1"/>
  <c r="E160" i="1" s="1"/>
  <c r="E159" i="1" s="1"/>
  <c r="E158" i="1" s="1"/>
  <c r="E157" i="1" s="1"/>
  <c r="E156" i="1" s="1"/>
  <c r="E155" i="1" s="1"/>
  <c r="E154" i="1" s="1"/>
  <c r="E153" i="1" s="1"/>
  <c r="E152" i="1" s="1"/>
  <c r="E151" i="1" s="1"/>
  <c r="E150" i="1" s="1"/>
  <c r="E149" i="1" s="1"/>
  <c r="E148" i="1" s="1"/>
  <c r="E147" i="1" s="1"/>
  <c r="E146" i="1" s="1"/>
  <c r="E145" i="1" s="1"/>
  <c r="E144" i="1" s="1"/>
  <c r="E143" i="1" s="1"/>
  <c r="E142" i="1" s="1"/>
  <c r="E141" i="1" s="1"/>
  <c r="E140" i="1" s="1"/>
  <c r="E139" i="1" s="1"/>
  <c r="E138" i="1" s="1"/>
  <c r="E137" i="1" s="1"/>
  <c r="E136" i="1" s="1"/>
  <c r="E135" i="1" s="1"/>
  <c r="E134" i="1" s="1"/>
  <c r="E133" i="1" s="1"/>
  <c r="E132" i="1" s="1"/>
  <c r="E131" i="1" s="1"/>
  <c r="E130" i="1" s="1"/>
  <c r="E129" i="1" s="1"/>
  <c r="E128" i="1" s="1"/>
  <c r="E127" i="1" s="1"/>
  <c r="E126" i="1" s="1"/>
  <c r="E125" i="1" s="1"/>
  <c r="E124" i="1" s="1"/>
  <c r="E123" i="1" s="1"/>
  <c r="E122" i="1" s="1"/>
  <c r="E121" i="1" s="1"/>
  <c r="E120" i="1" s="1"/>
  <c r="E119" i="1" s="1"/>
  <c r="E118" i="1" s="1"/>
  <c r="E117" i="1" s="1"/>
  <c r="E116" i="1" s="1"/>
  <c r="E115" i="1" s="1"/>
  <c r="E114" i="1" s="1"/>
  <c r="E113" i="1" s="1"/>
  <c r="E112" i="1" s="1"/>
  <c r="E111" i="1" s="1"/>
  <c r="E110" i="1" s="1"/>
  <c r="E109" i="1" s="1"/>
  <c r="E108" i="1" s="1"/>
  <c r="E107" i="1" s="1"/>
  <c r="E106" i="1" s="1"/>
  <c r="E105" i="1" s="1"/>
  <c r="E104" i="1" s="1"/>
  <c r="E103" i="1" s="1"/>
  <c r="E102" i="1" s="1"/>
  <c r="E101" i="1" s="1"/>
  <c r="E100" i="1" s="1"/>
  <c r="E99" i="1" s="1"/>
  <c r="E98" i="1" s="1"/>
  <c r="E97" i="1" s="1"/>
  <c r="E96" i="1" s="1"/>
  <c r="E95" i="1" s="1"/>
  <c r="E94" i="1" s="1"/>
  <c r="E93" i="1" s="1"/>
  <c r="E92" i="1" s="1"/>
  <c r="E91" i="1" s="1"/>
  <c r="E90" i="1" s="1"/>
  <c r="E89" i="1" s="1"/>
  <c r="E88" i="1" s="1"/>
  <c r="E87" i="1" s="1"/>
  <c r="E86" i="1" s="1"/>
  <c r="E85" i="1" s="1"/>
  <c r="E84" i="1" s="1"/>
  <c r="E83" i="1" s="1"/>
  <c r="E82" i="1" s="1"/>
  <c r="E81" i="1" s="1"/>
  <c r="E80" i="1" s="1"/>
  <c r="E79" i="1" s="1"/>
  <c r="E78" i="1" s="1"/>
  <c r="E77" i="1" s="1"/>
  <c r="E76" i="1" s="1"/>
  <c r="E75" i="1" s="1"/>
  <c r="E74" i="1" s="1"/>
  <c r="E73" i="1" s="1"/>
  <c r="E72" i="1" s="1"/>
  <c r="E71" i="1" s="1"/>
  <c r="E70" i="1" s="1"/>
  <c r="E69" i="1" s="1"/>
  <c r="E68" i="1" s="1"/>
  <c r="E67" i="1" s="1"/>
  <c r="E66" i="1" s="1"/>
  <c r="E65" i="1" s="1"/>
  <c r="E64" i="1" s="1"/>
  <c r="E63" i="1" s="1"/>
  <c r="E62" i="1" s="1"/>
  <c r="E61" i="1" s="1"/>
  <c r="E60" i="1" s="1"/>
  <c r="E59" i="1" s="1"/>
  <c r="E58" i="1" s="1"/>
  <c r="E57" i="1" s="1"/>
  <c r="E56" i="1" s="1"/>
  <c r="E55" i="1" s="1"/>
  <c r="E54" i="1" s="1"/>
  <c r="E53" i="1" s="1"/>
  <c r="E52" i="1" s="1"/>
  <c r="E51" i="1" s="1"/>
  <c r="E50" i="1" s="1"/>
  <c r="E49" i="1" s="1"/>
  <c r="E48" i="1" s="1"/>
  <c r="E47" i="1" s="1"/>
  <c r="E46" i="1" s="1"/>
  <c r="E45" i="1" s="1"/>
  <c r="E44" i="1" s="1"/>
  <c r="E43" i="1" s="1"/>
  <c r="E42" i="1" s="1"/>
  <c r="E41" i="1" s="1"/>
  <c r="E40" i="1" s="1"/>
  <c r="E39" i="1" s="1"/>
  <c r="E38" i="1" s="1"/>
  <c r="E37" i="1" s="1"/>
  <c r="E36" i="1" s="1"/>
  <c r="E35" i="1" s="1"/>
  <c r="E34" i="1" s="1"/>
  <c r="E33" i="1" s="1"/>
  <c r="E32" i="1" s="1"/>
  <c r="E31" i="1" s="1"/>
  <c r="E30" i="1" s="1"/>
  <c r="E29" i="1" s="1"/>
  <c r="E28" i="1" s="1"/>
  <c r="E27" i="1" s="1"/>
  <c r="E26" i="1" s="1"/>
  <c r="E25" i="1" s="1"/>
  <c r="E24" i="1" s="1"/>
  <c r="E23" i="1" s="1"/>
  <c r="E22" i="1" s="1"/>
  <c r="E21" i="1" s="1"/>
  <c r="E20" i="1" s="1"/>
  <c r="E19" i="1" s="1"/>
  <c r="E18" i="1" s="1"/>
  <c r="E17" i="1" s="1"/>
  <c r="E16" i="1" s="1"/>
  <c r="E15" i="1" s="1"/>
  <c r="E14" i="1" s="1"/>
  <c r="E13" i="1" s="1"/>
  <c r="E12" i="1" s="1"/>
  <c r="E11" i="1" s="1"/>
  <c r="E10" i="1" s="1"/>
  <c r="E9" i="1" s="1"/>
  <c r="E8" i="1" s="1"/>
  <c r="E7" i="1" s="1"/>
  <c r="E6" i="1" s="1"/>
  <c r="E5" i="1" s="1"/>
  <c r="E4" i="1" s="1"/>
  <c r="E3" i="1" s="1"/>
  <c r="E2" i="1" s="1"/>
  <c r="D398" i="1"/>
  <c r="D397" i="1" s="1"/>
  <c r="D396" i="1" s="1"/>
  <c r="D395" i="1" s="1"/>
  <c r="D394" i="1" s="1"/>
  <c r="D393" i="1" s="1"/>
  <c r="D392" i="1" s="1"/>
  <c r="D391" i="1" s="1"/>
  <c r="D390" i="1" s="1"/>
  <c r="D389" i="1" s="1"/>
  <c r="D388" i="1" s="1"/>
  <c r="D387" i="1" s="1"/>
  <c r="D386" i="1" s="1"/>
  <c r="D385" i="1" s="1"/>
  <c r="D384" i="1" s="1"/>
  <c r="D383" i="1" s="1"/>
  <c r="D382" i="1" s="1"/>
  <c r="D381" i="1" s="1"/>
  <c r="D380" i="1" s="1"/>
  <c r="D379" i="1" s="1"/>
  <c r="D378" i="1" s="1"/>
  <c r="D377" i="1" s="1"/>
  <c r="D376" i="1" s="1"/>
  <c r="D375" i="1" s="1"/>
  <c r="D374" i="1" s="1"/>
  <c r="D373" i="1" s="1"/>
  <c r="D372" i="1" s="1"/>
  <c r="D371" i="1" s="1"/>
  <c r="D370" i="1" s="1"/>
  <c r="D369" i="1" s="1"/>
  <c r="D368" i="1" s="1"/>
  <c r="D367" i="1" s="1"/>
  <c r="D366" i="1" s="1"/>
  <c r="D365" i="1" s="1"/>
  <c r="D364" i="1" s="1"/>
  <c r="D363" i="1" s="1"/>
  <c r="D362" i="1" s="1"/>
  <c r="D361" i="1" s="1"/>
  <c r="D360" i="1" s="1"/>
  <c r="D359" i="1" s="1"/>
  <c r="D358" i="1" s="1"/>
  <c r="D357" i="1" s="1"/>
  <c r="D356" i="1" s="1"/>
  <c r="D355" i="1" s="1"/>
  <c r="D354" i="1" s="1"/>
  <c r="D353" i="1" s="1"/>
  <c r="D352" i="1" s="1"/>
  <c r="D351" i="1" s="1"/>
  <c r="D350" i="1" s="1"/>
  <c r="D349" i="1" s="1"/>
  <c r="D348" i="1" s="1"/>
  <c r="D347" i="1" s="1"/>
  <c r="D346" i="1" s="1"/>
  <c r="D345" i="1" s="1"/>
  <c r="D344" i="1" s="1"/>
  <c r="D343" i="1" s="1"/>
  <c r="D342" i="1" s="1"/>
  <c r="D341" i="1" s="1"/>
  <c r="D340" i="1" s="1"/>
  <c r="D339" i="1" s="1"/>
  <c r="D338" i="1" s="1"/>
  <c r="D337" i="1" s="1"/>
  <c r="D336" i="1" s="1"/>
  <c r="D335" i="1" s="1"/>
  <c r="D334" i="1" s="1"/>
  <c r="D333" i="1" s="1"/>
  <c r="D332" i="1" s="1"/>
  <c r="D331" i="1" s="1"/>
  <c r="D330" i="1" s="1"/>
  <c r="D329" i="1" s="1"/>
  <c r="D328" i="1" s="1"/>
  <c r="D327" i="1" s="1"/>
  <c r="D326" i="1" s="1"/>
  <c r="D325" i="1" s="1"/>
  <c r="D324" i="1" s="1"/>
  <c r="D323" i="1" s="1"/>
  <c r="D322" i="1" s="1"/>
  <c r="D321" i="1" s="1"/>
  <c r="D320" i="1" s="1"/>
  <c r="D319" i="1" s="1"/>
  <c r="D318" i="1" s="1"/>
  <c r="D317" i="1" s="1"/>
  <c r="D316" i="1" s="1"/>
  <c r="D315" i="1" s="1"/>
  <c r="D314" i="1" s="1"/>
  <c r="D313" i="1" s="1"/>
  <c r="D312" i="1" s="1"/>
  <c r="D311" i="1" s="1"/>
  <c r="D310" i="1" s="1"/>
  <c r="D309" i="1" s="1"/>
  <c r="D308" i="1" s="1"/>
  <c r="D307" i="1" s="1"/>
  <c r="D306" i="1" s="1"/>
  <c r="D305" i="1" s="1"/>
  <c r="D304" i="1" s="1"/>
  <c r="D303" i="1" s="1"/>
  <c r="D302" i="1" s="1"/>
  <c r="D301" i="1" s="1"/>
  <c r="D300" i="1" s="1"/>
  <c r="D299" i="1" s="1"/>
  <c r="D298" i="1" s="1"/>
  <c r="D297" i="1" s="1"/>
  <c r="D296" i="1" s="1"/>
  <c r="D295" i="1" s="1"/>
  <c r="D294" i="1" s="1"/>
  <c r="D293" i="1" s="1"/>
  <c r="D292" i="1" s="1"/>
  <c r="D291" i="1" s="1"/>
  <c r="D290" i="1" s="1"/>
  <c r="D289" i="1" s="1"/>
  <c r="D288" i="1" s="1"/>
  <c r="D287" i="1" s="1"/>
  <c r="D286" i="1" s="1"/>
  <c r="D285" i="1" s="1"/>
  <c r="D284" i="1" s="1"/>
  <c r="D283" i="1" s="1"/>
  <c r="D282" i="1" s="1"/>
  <c r="D281" i="1" s="1"/>
  <c r="D280" i="1" s="1"/>
  <c r="D279" i="1" s="1"/>
  <c r="D278" i="1" s="1"/>
  <c r="D277" i="1" s="1"/>
  <c r="D276" i="1" s="1"/>
  <c r="D275" i="1" s="1"/>
  <c r="D274" i="1" s="1"/>
  <c r="D273" i="1" s="1"/>
  <c r="D272" i="1" s="1"/>
  <c r="D271" i="1" s="1"/>
  <c r="D270" i="1" s="1"/>
  <c r="D269" i="1" s="1"/>
  <c r="D268" i="1" s="1"/>
  <c r="D267" i="1" s="1"/>
  <c r="D266" i="1" s="1"/>
  <c r="D265" i="1" s="1"/>
  <c r="D264" i="1" s="1"/>
  <c r="D263" i="1" s="1"/>
  <c r="D262" i="1" s="1"/>
  <c r="D261" i="1" s="1"/>
  <c r="D260" i="1" s="1"/>
  <c r="D259" i="1" s="1"/>
  <c r="D258" i="1" s="1"/>
  <c r="D257" i="1" s="1"/>
  <c r="D256" i="1" s="1"/>
  <c r="D255" i="1" s="1"/>
  <c r="D254" i="1" s="1"/>
  <c r="D253" i="1" s="1"/>
  <c r="D252" i="1" s="1"/>
  <c r="D251" i="1" s="1"/>
  <c r="D250" i="1" s="1"/>
  <c r="D249" i="1" s="1"/>
  <c r="D248" i="1" s="1"/>
  <c r="D247" i="1" s="1"/>
  <c r="D246" i="1" s="1"/>
  <c r="D245" i="1" s="1"/>
  <c r="D244" i="1" s="1"/>
  <c r="D243" i="1" s="1"/>
  <c r="D242" i="1" s="1"/>
  <c r="D241" i="1" s="1"/>
  <c r="D240" i="1" s="1"/>
  <c r="D239" i="1" s="1"/>
  <c r="D238" i="1" s="1"/>
  <c r="D237" i="1" s="1"/>
  <c r="D236" i="1" s="1"/>
  <c r="D235" i="1" s="1"/>
  <c r="D234" i="1" s="1"/>
  <c r="D233" i="1" s="1"/>
  <c r="D232" i="1" s="1"/>
  <c r="D231" i="1" s="1"/>
  <c r="D230" i="1" s="1"/>
  <c r="D229" i="1" s="1"/>
  <c r="D228" i="1" s="1"/>
  <c r="D227" i="1" s="1"/>
  <c r="D226" i="1" s="1"/>
  <c r="D225" i="1" s="1"/>
  <c r="D224" i="1" s="1"/>
  <c r="D223" i="1" s="1"/>
  <c r="D222" i="1" s="1"/>
  <c r="D221" i="1" s="1"/>
  <c r="D220" i="1" s="1"/>
  <c r="D219" i="1" s="1"/>
  <c r="D218" i="1" s="1"/>
  <c r="D217" i="1" s="1"/>
  <c r="D216" i="1" s="1"/>
  <c r="D215" i="1" s="1"/>
  <c r="D214" i="1" s="1"/>
  <c r="D213" i="1" s="1"/>
  <c r="D212" i="1" s="1"/>
  <c r="D211" i="1" s="1"/>
  <c r="D210" i="1" s="1"/>
  <c r="D209" i="1" s="1"/>
  <c r="D208" i="1" s="1"/>
  <c r="D207" i="1" s="1"/>
  <c r="D206" i="1" s="1"/>
  <c r="D205" i="1" s="1"/>
  <c r="D204" i="1" s="1"/>
  <c r="D203" i="1" s="1"/>
  <c r="D202" i="1" s="1"/>
  <c r="D201" i="1" s="1"/>
  <c r="D200" i="1" s="1"/>
  <c r="D199" i="1" s="1"/>
  <c r="D198" i="1" s="1"/>
  <c r="D197" i="1" s="1"/>
  <c r="D196" i="1" s="1"/>
  <c r="D195" i="1" s="1"/>
  <c r="D194" i="1" s="1"/>
  <c r="D193" i="1" s="1"/>
  <c r="D192" i="1" s="1"/>
  <c r="D191" i="1" s="1"/>
  <c r="D190" i="1" s="1"/>
  <c r="D189" i="1" s="1"/>
  <c r="D188" i="1" s="1"/>
  <c r="D187" i="1" s="1"/>
  <c r="D186" i="1" s="1"/>
  <c r="D185" i="1" s="1"/>
  <c r="D184" i="1" s="1"/>
  <c r="D183" i="1" s="1"/>
  <c r="D182" i="1" s="1"/>
  <c r="D181" i="1" s="1"/>
  <c r="D180" i="1" s="1"/>
  <c r="D179" i="1" s="1"/>
  <c r="D178" i="1" s="1"/>
  <c r="D177" i="1" s="1"/>
  <c r="D176" i="1" s="1"/>
  <c r="D175" i="1" s="1"/>
  <c r="D174" i="1" s="1"/>
  <c r="D173" i="1" s="1"/>
  <c r="D172" i="1" s="1"/>
  <c r="D171" i="1" s="1"/>
  <c r="D170" i="1" s="1"/>
  <c r="D169" i="1" s="1"/>
  <c r="D168" i="1" s="1"/>
  <c r="D167" i="1" s="1"/>
  <c r="D166" i="1" s="1"/>
  <c r="D165" i="1" s="1"/>
  <c r="D164" i="1" s="1"/>
  <c r="D163" i="1" s="1"/>
  <c r="D162" i="1" s="1"/>
  <c r="D161" i="1" s="1"/>
  <c r="D160" i="1" s="1"/>
  <c r="D159" i="1" s="1"/>
  <c r="D158" i="1" s="1"/>
  <c r="D157" i="1" s="1"/>
  <c r="D156" i="1" s="1"/>
  <c r="D155" i="1" s="1"/>
  <c r="D154" i="1" s="1"/>
  <c r="D153" i="1" s="1"/>
  <c r="D152" i="1" s="1"/>
  <c r="D151" i="1" s="1"/>
  <c r="D150" i="1" s="1"/>
  <c r="D149" i="1" s="1"/>
  <c r="D148" i="1" s="1"/>
  <c r="D147" i="1" s="1"/>
  <c r="D146" i="1" s="1"/>
  <c r="D145" i="1" s="1"/>
  <c r="D144" i="1" s="1"/>
  <c r="D143" i="1" s="1"/>
  <c r="D142" i="1" s="1"/>
  <c r="D141" i="1" s="1"/>
  <c r="D140" i="1" s="1"/>
  <c r="D139" i="1" s="1"/>
  <c r="D138" i="1" s="1"/>
  <c r="D137" i="1" s="1"/>
  <c r="D136" i="1" s="1"/>
  <c r="D135" i="1" s="1"/>
  <c r="D134" i="1" s="1"/>
  <c r="D133" i="1" s="1"/>
  <c r="D132" i="1" s="1"/>
  <c r="D131" i="1" s="1"/>
  <c r="D130" i="1" s="1"/>
  <c r="D129" i="1" s="1"/>
  <c r="D128" i="1" s="1"/>
  <c r="D127" i="1" s="1"/>
  <c r="D126" i="1" s="1"/>
  <c r="D125" i="1" s="1"/>
  <c r="D124" i="1" s="1"/>
  <c r="D123" i="1" s="1"/>
  <c r="D122" i="1" s="1"/>
  <c r="D121" i="1" s="1"/>
  <c r="D120" i="1" s="1"/>
  <c r="D119" i="1" s="1"/>
  <c r="D118" i="1" s="1"/>
  <c r="D117" i="1" s="1"/>
  <c r="D116" i="1" s="1"/>
  <c r="D115" i="1" s="1"/>
  <c r="D114" i="1" s="1"/>
  <c r="D113" i="1" s="1"/>
  <c r="D112" i="1" s="1"/>
  <c r="D111" i="1" s="1"/>
  <c r="D110" i="1" s="1"/>
  <c r="D109" i="1" s="1"/>
  <c r="D108" i="1" s="1"/>
  <c r="D107" i="1" s="1"/>
  <c r="D106" i="1" s="1"/>
  <c r="D105" i="1" s="1"/>
  <c r="D104" i="1" s="1"/>
  <c r="D103" i="1" s="1"/>
  <c r="D102" i="1" s="1"/>
  <c r="D101" i="1" s="1"/>
  <c r="D100" i="1" s="1"/>
  <c r="D99" i="1" s="1"/>
  <c r="D98" i="1" s="1"/>
  <c r="D97" i="1" s="1"/>
  <c r="D96" i="1" s="1"/>
  <c r="D95" i="1" s="1"/>
  <c r="D94" i="1" s="1"/>
  <c r="D93" i="1" s="1"/>
  <c r="D92" i="1" s="1"/>
  <c r="D91" i="1" s="1"/>
  <c r="D90" i="1" s="1"/>
  <c r="D89" i="1" s="1"/>
  <c r="D88" i="1" s="1"/>
  <c r="D87" i="1" s="1"/>
  <c r="D86" i="1" s="1"/>
  <c r="D85" i="1" s="1"/>
  <c r="D84" i="1" s="1"/>
  <c r="D83" i="1" s="1"/>
  <c r="D82" i="1" s="1"/>
  <c r="D81" i="1" s="1"/>
  <c r="D80" i="1" s="1"/>
  <c r="D79" i="1" s="1"/>
  <c r="D78" i="1" s="1"/>
  <c r="D77" i="1" s="1"/>
  <c r="D76" i="1" s="1"/>
  <c r="D75" i="1" s="1"/>
  <c r="D74" i="1" s="1"/>
  <c r="D73" i="1" s="1"/>
  <c r="D72" i="1" s="1"/>
  <c r="D71" i="1" s="1"/>
  <c r="D70" i="1" s="1"/>
  <c r="D69" i="1" s="1"/>
  <c r="D68" i="1" s="1"/>
  <c r="D67" i="1" s="1"/>
  <c r="D66" i="1" s="1"/>
  <c r="D65" i="1" s="1"/>
  <c r="D64" i="1" s="1"/>
  <c r="D63" i="1" s="1"/>
  <c r="D62" i="1" s="1"/>
  <c r="D61" i="1" s="1"/>
  <c r="D60" i="1" s="1"/>
  <c r="D59" i="1" s="1"/>
  <c r="D58" i="1" s="1"/>
  <c r="D57" i="1" s="1"/>
  <c r="D56" i="1" s="1"/>
  <c r="D55" i="1" s="1"/>
  <c r="D54" i="1" s="1"/>
  <c r="D53" i="1" s="1"/>
  <c r="D52" i="1" s="1"/>
  <c r="D51" i="1" s="1"/>
  <c r="D50" i="1" s="1"/>
  <c r="D49" i="1" s="1"/>
  <c r="D48" i="1" s="1"/>
  <c r="D47" i="1" s="1"/>
  <c r="D46" i="1" s="1"/>
  <c r="D45" i="1" s="1"/>
  <c r="D44" i="1" s="1"/>
  <c r="D43" i="1" s="1"/>
  <c r="D42" i="1" s="1"/>
  <c r="D41" i="1" s="1"/>
  <c r="D40" i="1" s="1"/>
  <c r="D39" i="1" s="1"/>
  <c r="D38" i="1" s="1"/>
  <c r="D37" i="1" s="1"/>
  <c r="D36" i="1" s="1"/>
  <c r="D35" i="1" s="1"/>
  <c r="D34" i="1" s="1"/>
  <c r="D33" i="1" s="1"/>
  <c r="D32" i="1" s="1"/>
  <c r="D31" i="1" s="1"/>
  <c r="D30" i="1" s="1"/>
  <c r="D29" i="1" s="1"/>
  <c r="D28" i="1" s="1"/>
  <c r="D27" i="1" s="1"/>
  <c r="D26" i="1" s="1"/>
  <c r="D25" i="1" s="1"/>
  <c r="D24" i="1" s="1"/>
  <c r="D23" i="1" s="1"/>
  <c r="D22" i="1" s="1"/>
  <c r="D21" i="1" s="1"/>
  <c r="D20" i="1" s="1"/>
  <c r="D19" i="1" s="1"/>
  <c r="D18" i="1" s="1"/>
  <c r="D17" i="1" s="1"/>
  <c r="D16" i="1" s="1"/>
  <c r="D15" i="1" s="1"/>
  <c r="D14" i="1" s="1"/>
  <c r="D13" i="1" s="1"/>
  <c r="D12" i="1" s="1"/>
  <c r="D11" i="1" s="1"/>
  <c r="D10" i="1" s="1"/>
  <c r="D9" i="1" s="1"/>
  <c r="D8" i="1" s="1"/>
  <c r="D7" i="1" s="1"/>
  <c r="D6" i="1" s="1"/>
  <c r="D5" i="1" s="1"/>
  <c r="D4" i="1" s="1"/>
  <c r="D3" i="1" s="1"/>
  <c r="D2" i="1" s="1"/>
  <c r="D399" i="1"/>
  <c r="D400" i="1"/>
  <c r="C18" i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16" i="1"/>
  <c r="C17" i="1" s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4" i="1"/>
  <c r="C3" i="1"/>
  <c r="C2" i="1"/>
  <c r="M2" i="1"/>
  <c r="O2" i="2"/>
  <c r="O2" i="1"/>
  <c r="M2" i="2"/>
  <c r="A6" i="6"/>
  <c r="A4" i="6"/>
  <c r="G3" i="4" l="1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F2" i="4"/>
  <c r="F3" i="4" s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H2" i="4"/>
  <c r="G3" i="3"/>
  <c r="G4" i="3" s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F2" i="3"/>
  <c r="F3" i="3" s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H2" i="3"/>
  <c r="B2" i="2"/>
  <c r="G2" i="2" s="1"/>
  <c r="E51" i="4" l="1"/>
  <c r="E50" i="4" s="1"/>
  <c r="E49" i="4" s="1"/>
  <c r="E48" i="4" s="1"/>
  <c r="E47" i="4" s="1"/>
  <c r="E46" i="4" s="1"/>
  <c r="E45" i="4" s="1"/>
  <c r="E44" i="4" s="1"/>
  <c r="E43" i="4" s="1"/>
  <c r="E42" i="4" s="1"/>
  <c r="E41" i="4" s="1"/>
  <c r="E40" i="4" s="1"/>
  <c r="E39" i="4" s="1"/>
  <c r="E38" i="4" s="1"/>
  <c r="E37" i="4" s="1"/>
  <c r="E36" i="4" s="1"/>
  <c r="E35" i="4" s="1"/>
  <c r="E34" i="4" s="1"/>
  <c r="E33" i="4" s="1"/>
  <c r="E32" i="4" s="1"/>
  <c r="E31" i="4" s="1"/>
  <c r="E30" i="4" s="1"/>
  <c r="E29" i="4" s="1"/>
  <c r="E28" i="4" s="1"/>
  <c r="E27" i="4" s="1"/>
  <c r="E26" i="4" s="1"/>
  <c r="E25" i="4" s="1"/>
  <c r="E24" i="4" s="1"/>
  <c r="E23" i="4" s="1"/>
  <c r="E22" i="4" s="1"/>
  <c r="E21" i="4" s="1"/>
  <c r="E20" i="4" s="1"/>
  <c r="E19" i="4" s="1"/>
  <c r="E18" i="4" s="1"/>
  <c r="E17" i="4" s="1"/>
  <c r="E16" i="4" s="1"/>
  <c r="E15" i="4" s="1"/>
  <c r="E14" i="4" s="1"/>
  <c r="E13" i="4" s="1"/>
  <c r="E12" i="4" s="1"/>
  <c r="E11" i="4" s="1"/>
  <c r="E10" i="4" s="1"/>
  <c r="E9" i="4" s="1"/>
  <c r="E8" i="4" s="1"/>
  <c r="E7" i="4" s="1"/>
  <c r="E6" i="4" s="1"/>
  <c r="E5" i="4" s="1"/>
  <c r="E4" i="4" s="1"/>
  <c r="E3" i="4" s="1"/>
  <c r="E2" i="4" s="1"/>
  <c r="D51" i="4"/>
  <c r="D50" i="4" s="1"/>
  <c r="D49" i="4" s="1"/>
  <c r="D48" i="4" s="1"/>
  <c r="D47" i="4" s="1"/>
  <c r="D46" i="4" s="1"/>
  <c r="D45" i="4" s="1"/>
  <c r="D44" i="4" s="1"/>
  <c r="D43" i="4" s="1"/>
  <c r="D42" i="4" s="1"/>
  <c r="D41" i="4" s="1"/>
  <c r="D40" i="4" s="1"/>
  <c r="D39" i="4" s="1"/>
  <c r="D38" i="4" s="1"/>
  <c r="D37" i="4" s="1"/>
  <c r="D36" i="4" s="1"/>
  <c r="D35" i="4" s="1"/>
  <c r="D34" i="4" s="1"/>
  <c r="D33" i="4" s="1"/>
  <c r="D32" i="4" s="1"/>
  <c r="D31" i="4" s="1"/>
  <c r="D30" i="4" s="1"/>
  <c r="D29" i="4" s="1"/>
  <c r="D28" i="4" s="1"/>
  <c r="D27" i="4" s="1"/>
  <c r="D26" i="4" s="1"/>
  <c r="D25" i="4" s="1"/>
  <c r="D24" i="4" s="1"/>
  <c r="D23" i="4" s="1"/>
  <c r="D22" i="4" s="1"/>
  <c r="D21" i="4" s="1"/>
  <c r="D20" i="4" s="1"/>
  <c r="D19" i="4" s="1"/>
  <c r="D18" i="4" s="1"/>
  <c r="D17" i="4" s="1"/>
  <c r="D16" i="4" s="1"/>
  <c r="D15" i="4" s="1"/>
  <c r="D14" i="4" s="1"/>
  <c r="D13" i="4" s="1"/>
  <c r="D12" i="4" s="1"/>
  <c r="D11" i="4" s="1"/>
  <c r="D10" i="4" s="1"/>
  <c r="D9" i="4" s="1"/>
  <c r="D8" i="4" s="1"/>
  <c r="D7" i="4" s="1"/>
  <c r="D6" i="4" s="1"/>
  <c r="D5" i="4" s="1"/>
  <c r="D4" i="4" s="1"/>
  <c r="D3" i="4" s="1"/>
  <c r="D2" i="4" s="1"/>
  <c r="E101" i="3"/>
  <c r="E100" i="3" s="1"/>
  <c r="E99" i="3" s="1"/>
  <c r="E98" i="3" s="1"/>
  <c r="E97" i="3" s="1"/>
  <c r="E96" i="3" s="1"/>
  <c r="E95" i="3" s="1"/>
  <c r="E94" i="3" s="1"/>
  <c r="E93" i="3" s="1"/>
  <c r="E92" i="3" s="1"/>
  <c r="E91" i="3" s="1"/>
  <c r="E90" i="3" s="1"/>
  <c r="E89" i="3" s="1"/>
  <c r="E88" i="3" s="1"/>
  <c r="E87" i="3" s="1"/>
  <c r="E86" i="3" s="1"/>
  <c r="E85" i="3" s="1"/>
  <c r="E84" i="3" s="1"/>
  <c r="E83" i="3" s="1"/>
  <c r="E82" i="3" s="1"/>
  <c r="E81" i="3" s="1"/>
  <c r="E80" i="3" s="1"/>
  <c r="E79" i="3" s="1"/>
  <c r="E78" i="3" s="1"/>
  <c r="E77" i="3" s="1"/>
  <c r="E76" i="3" s="1"/>
  <c r="E75" i="3" s="1"/>
  <c r="E74" i="3" s="1"/>
  <c r="E73" i="3" s="1"/>
  <c r="E72" i="3" s="1"/>
  <c r="E71" i="3" s="1"/>
  <c r="E70" i="3" s="1"/>
  <c r="E69" i="3" s="1"/>
  <c r="E68" i="3" s="1"/>
  <c r="E67" i="3" s="1"/>
  <c r="E66" i="3" s="1"/>
  <c r="E65" i="3" s="1"/>
  <c r="E64" i="3" s="1"/>
  <c r="E63" i="3" s="1"/>
  <c r="E62" i="3" s="1"/>
  <c r="E61" i="3" s="1"/>
  <c r="E60" i="3" s="1"/>
  <c r="E59" i="3" s="1"/>
  <c r="E58" i="3" s="1"/>
  <c r="E57" i="3" s="1"/>
  <c r="E56" i="3" s="1"/>
  <c r="E55" i="3" s="1"/>
  <c r="E54" i="3" s="1"/>
  <c r="E53" i="3" s="1"/>
  <c r="E52" i="3" s="1"/>
  <c r="E51" i="3" s="1"/>
  <c r="E50" i="3" s="1"/>
  <c r="E49" i="3" s="1"/>
  <c r="E48" i="3" s="1"/>
  <c r="E47" i="3" s="1"/>
  <c r="E46" i="3" s="1"/>
  <c r="E45" i="3" s="1"/>
  <c r="E44" i="3" s="1"/>
  <c r="E43" i="3" s="1"/>
  <c r="E42" i="3" s="1"/>
  <c r="E41" i="3" s="1"/>
  <c r="E40" i="3" s="1"/>
  <c r="E39" i="3" s="1"/>
  <c r="E38" i="3" s="1"/>
  <c r="E37" i="3" s="1"/>
  <c r="E36" i="3" s="1"/>
  <c r="E35" i="3" s="1"/>
  <c r="E34" i="3" s="1"/>
  <c r="E33" i="3" s="1"/>
  <c r="E32" i="3" s="1"/>
  <c r="E31" i="3" s="1"/>
  <c r="E30" i="3" s="1"/>
  <c r="E29" i="3" s="1"/>
  <c r="E28" i="3" s="1"/>
  <c r="E27" i="3" s="1"/>
  <c r="E26" i="3" s="1"/>
  <c r="E25" i="3" s="1"/>
  <c r="E24" i="3" s="1"/>
  <c r="E23" i="3" s="1"/>
  <c r="E22" i="3" s="1"/>
  <c r="E21" i="3" s="1"/>
  <c r="E20" i="3" s="1"/>
  <c r="E19" i="3" s="1"/>
  <c r="E18" i="3" s="1"/>
  <c r="E17" i="3" s="1"/>
  <c r="E16" i="3" s="1"/>
  <c r="E15" i="3" s="1"/>
  <c r="E14" i="3" s="1"/>
  <c r="E13" i="3" s="1"/>
  <c r="E12" i="3" s="1"/>
  <c r="E11" i="3" s="1"/>
  <c r="E10" i="3" s="1"/>
  <c r="E9" i="3" s="1"/>
  <c r="E8" i="3" s="1"/>
  <c r="E7" i="3" s="1"/>
  <c r="E6" i="3" s="1"/>
  <c r="E5" i="3" s="1"/>
  <c r="E4" i="3" s="1"/>
  <c r="E3" i="3" s="1"/>
  <c r="E2" i="3" s="1"/>
  <c r="D101" i="3"/>
  <c r="D100" i="3" s="1"/>
  <c r="D99" i="3" s="1"/>
  <c r="D98" i="3" s="1"/>
  <c r="D97" i="3" s="1"/>
  <c r="D96" i="3" s="1"/>
  <c r="D95" i="3" s="1"/>
  <c r="D94" i="3" s="1"/>
  <c r="D93" i="3" s="1"/>
  <c r="D92" i="3" s="1"/>
  <c r="D91" i="3" s="1"/>
  <c r="D90" i="3" s="1"/>
  <c r="D89" i="3" s="1"/>
  <c r="D88" i="3" s="1"/>
  <c r="D87" i="3" s="1"/>
  <c r="D86" i="3" s="1"/>
  <c r="D85" i="3" s="1"/>
  <c r="D84" i="3" s="1"/>
  <c r="D83" i="3" s="1"/>
  <c r="D82" i="3" s="1"/>
  <c r="D81" i="3" s="1"/>
  <c r="D80" i="3" s="1"/>
  <c r="D79" i="3" s="1"/>
  <c r="D78" i="3" s="1"/>
  <c r="D77" i="3" s="1"/>
  <c r="D76" i="3" s="1"/>
  <c r="D75" i="3" s="1"/>
  <c r="D74" i="3" s="1"/>
  <c r="D73" i="3" s="1"/>
  <c r="D72" i="3" s="1"/>
  <c r="D71" i="3" s="1"/>
  <c r="D70" i="3" s="1"/>
  <c r="D69" i="3" s="1"/>
  <c r="D68" i="3" s="1"/>
  <c r="D67" i="3" s="1"/>
  <c r="D66" i="3" s="1"/>
  <c r="D65" i="3" s="1"/>
  <c r="D64" i="3" s="1"/>
  <c r="D63" i="3" s="1"/>
  <c r="D62" i="3" s="1"/>
  <c r="D61" i="3" s="1"/>
  <c r="D60" i="3" s="1"/>
  <c r="D59" i="3" s="1"/>
  <c r="D58" i="3" s="1"/>
  <c r="D57" i="3" s="1"/>
  <c r="D56" i="3" s="1"/>
  <c r="D55" i="3" s="1"/>
  <c r="D54" i="3" s="1"/>
  <c r="D53" i="3" s="1"/>
  <c r="D52" i="3" s="1"/>
  <c r="D51" i="3" s="1"/>
  <c r="D50" i="3" s="1"/>
  <c r="D49" i="3" s="1"/>
  <c r="D48" i="3" s="1"/>
  <c r="D47" i="3" s="1"/>
  <c r="D46" i="3" s="1"/>
  <c r="D45" i="3" s="1"/>
  <c r="D44" i="3" s="1"/>
  <c r="D43" i="3" s="1"/>
  <c r="D42" i="3" s="1"/>
  <c r="D41" i="3" s="1"/>
  <c r="D40" i="3" s="1"/>
  <c r="D39" i="3" s="1"/>
  <c r="D38" i="3" s="1"/>
  <c r="D37" i="3" s="1"/>
  <c r="D36" i="3" s="1"/>
  <c r="D35" i="3" s="1"/>
  <c r="D34" i="3" s="1"/>
  <c r="D33" i="3" s="1"/>
  <c r="D32" i="3" s="1"/>
  <c r="D31" i="3" s="1"/>
  <c r="D30" i="3" s="1"/>
  <c r="D29" i="3" s="1"/>
  <c r="D28" i="3" s="1"/>
  <c r="D27" i="3" s="1"/>
  <c r="D26" i="3" s="1"/>
  <c r="D25" i="3" s="1"/>
  <c r="D24" i="3" s="1"/>
  <c r="D23" i="3" s="1"/>
  <c r="D22" i="3" s="1"/>
  <c r="D21" i="3" s="1"/>
  <c r="D20" i="3" s="1"/>
  <c r="D19" i="3" s="1"/>
  <c r="D18" i="3" s="1"/>
  <c r="D17" i="3" s="1"/>
  <c r="D16" i="3" s="1"/>
  <c r="D15" i="3" s="1"/>
  <c r="D14" i="3" s="1"/>
  <c r="D13" i="3" s="1"/>
  <c r="D12" i="3" s="1"/>
  <c r="D11" i="3" s="1"/>
  <c r="D10" i="3" s="1"/>
  <c r="D9" i="3" s="1"/>
  <c r="D8" i="3" s="1"/>
  <c r="D7" i="3" s="1"/>
  <c r="C2" i="2"/>
  <c r="F2" i="2"/>
  <c r="B3" i="2"/>
  <c r="D6" i="3" l="1"/>
  <c r="D5" i="3" s="1"/>
  <c r="D4" i="3" s="1"/>
  <c r="D3" i="3" s="1"/>
  <c r="D2" i="3" s="1"/>
  <c r="G3" i="2"/>
  <c r="F3" i="2"/>
  <c r="C3" i="2"/>
  <c r="C4" i="2" l="1"/>
  <c r="F4" i="2"/>
  <c r="G4" i="2"/>
  <c r="B5" i="2"/>
  <c r="C5" i="2" l="1"/>
  <c r="F5" i="2"/>
  <c r="G5" i="2"/>
  <c r="B6" i="2"/>
  <c r="C6" i="2" l="1"/>
  <c r="F6" i="2"/>
  <c r="G6" i="2"/>
  <c r="B7" i="2"/>
  <c r="C7" i="2" l="1"/>
  <c r="F7" i="2"/>
  <c r="G7" i="2"/>
  <c r="B8" i="2"/>
  <c r="C8" i="2" l="1"/>
  <c r="F8" i="2"/>
  <c r="G8" i="2"/>
  <c r="B9" i="2"/>
  <c r="C9" i="2" l="1"/>
  <c r="F9" i="2"/>
  <c r="G9" i="2"/>
  <c r="B10" i="2"/>
  <c r="C10" i="2" l="1"/>
  <c r="G10" i="2"/>
  <c r="F10" i="2"/>
  <c r="B11" i="2"/>
  <c r="C11" i="2" l="1"/>
  <c r="F11" i="2"/>
  <c r="G11" i="2"/>
  <c r="B12" i="2"/>
  <c r="C12" i="2" l="1"/>
  <c r="F12" i="2"/>
  <c r="G12" i="2"/>
  <c r="B13" i="2"/>
  <c r="C13" i="2" l="1"/>
  <c r="F13" i="2"/>
  <c r="G13" i="2"/>
  <c r="B14" i="2"/>
  <c r="C14" i="2" l="1"/>
  <c r="G14" i="2"/>
  <c r="F14" i="2"/>
  <c r="B15" i="2"/>
  <c r="C15" i="2" l="1"/>
  <c r="F15" i="2"/>
  <c r="G15" i="2"/>
  <c r="B16" i="2"/>
  <c r="C16" i="2" l="1"/>
  <c r="F16" i="2"/>
  <c r="G16" i="2"/>
  <c r="B17" i="2"/>
  <c r="C17" i="2" l="1"/>
  <c r="F17" i="2"/>
  <c r="G17" i="2"/>
  <c r="B18" i="2"/>
  <c r="C18" i="2" l="1"/>
  <c r="F18" i="2"/>
  <c r="G18" i="2"/>
  <c r="B19" i="2"/>
  <c r="C19" i="2" l="1"/>
  <c r="G19" i="2"/>
  <c r="F19" i="2"/>
  <c r="B20" i="2"/>
  <c r="B21" i="2"/>
  <c r="C20" i="2" l="1"/>
  <c r="C21" i="2" s="1"/>
  <c r="F20" i="2"/>
  <c r="F21" i="2" s="1"/>
  <c r="G20" i="2"/>
  <c r="G21" i="2" s="1"/>
  <c r="B22" i="2"/>
  <c r="C22" i="2" l="1"/>
  <c r="G22" i="2"/>
  <c r="F22" i="2"/>
  <c r="B23" i="2"/>
  <c r="C23" i="2" l="1"/>
  <c r="G23" i="2"/>
  <c r="F23" i="2"/>
  <c r="B24" i="2"/>
  <c r="C24" i="2" l="1"/>
  <c r="F24" i="2"/>
  <c r="G24" i="2"/>
  <c r="B25" i="2"/>
  <c r="C25" i="2" l="1"/>
  <c r="F25" i="2"/>
  <c r="G25" i="2"/>
  <c r="B26" i="2"/>
  <c r="C26" i="2" l="1"/>
  <c r="F26" i="2"/>
  <c r="G26" i="2"/>
  <c r="B27" i="2"/>
  <c r="C27" i="2" l="1"/>
  <c r="F27" i="2"/>
  <c r="G27" i="2"/>
  <c r="B28" i="2"/>
  <c r="C28" i="2" l="1"/>
  <c r="F28" i="2"/>
  <c r="G28" i="2"/>
  <c r="B29" i="2"/>
  <c r="C29" i="2" l="1"/>
  <c r="F29" i="2"/>
  <c r="G29" i="2"/>
  <c r="B30" i="2"/>
  <c r="C30" i="2" l="1"/>
  <c r="G30" i="2"/>
  <c r="F30" i="2"/>
  <c r="B31" i="2"/>
  <c r="C31" i="2" l="1"/>
  <c r="G31" i="2"/>
  <c r="F31" i="2"/>
  <c r="B32" i="2"/>
  <c r="C32" i="2" l="1"/>
  <c r="F32" i="2"/>
  <c r="G32" i="2"/>
  <c r="B33" i="2"/>
  <c r="C33" i="2" l="1"/>
  <c r="F33" i="2"/>
  <c r="G33" i="2"/>
  <c r="B34" i="2"/>
  <c r="C34" i="2" l="1"/>
  <c r="G34" i="2"/>
  <c r="F34" i="2"/>
  <c r="B35" i="2"/>
  <c r="C35" i="2" l="1"/>
  <c r="F35" i="2"/>
  <c r="G35" i="2"/>
  <c r="B36" i="2"/>
  <c r="C36" i="2" l="1"/>
  <c r="F36" i="2"/>
  <c r="G36" i="2"/>
  <c r="B37" i="2"/>
  <c r="C37" i="2" l="1"/>
  <c r="F37" i="2"/>
  <c r="G37" i="2"/>
  <c r="B38" i="2"/>
  <c r="C38" i="2" l="1"/>
  <c r="F38" i="2"/>
  <c r="G38" i="2"/>
  <c r="B39" i="2"/>
  <c r="C39" i="2" l="1"/>
  <c r="F39" i="2"/>
  <c r="G39" i="2"/>
  <c r="B40" i="2"/>
  <c r="C40" i="2" l="1"/>
  <c r="F40" i="2"/>
  <c r="G40" i="2"/>
  <c r="B41" i="2"/>
  <c r="C41" i="2" l="1"/>
  <c r="F41" i="2"/>
  <c r="G41" i="2"/>
  <c r="B42" i="2"/>
  <c r="C42" i="2" l="1"/>
  <c r="F42" i="2"/>
  <c r="G42" i="2"/>
  <c r="B43" i="2"/>
  <c r="C43" i="2" l="1"/>
  <c r="F43" i="2"/>
  <c r="G43" i="2"/>
  <c r="B44" i="2"/>
  <c r="C44" i="2" l="1"/>
  <c r="F44" i="2"/>
  <c r="G44" i="2"/>
  <c r="B45" i="2"/>
  <c r="C45" i="2" l="1"/>
  <c r="F45" i="2"/>
  <c r="G45" i="2"/>
  <c r="B46" i="2"/>
  <c r="C46" i="2" l="1"/>
  <c r="F46" i="2"/>
  <c r="G46" i="2"/>
  <c r="B47" i="2"/>
  <c r="C47" i="2" l="1"/>
  <c r="F47" i="2"/>
  <c r="G47" i="2"/>
  <c r="B48" i="2"/>
  <c r="C48" i="2" l="1"/>
  <c r="F48" i="2"/>
  <c r="G48" i="2"/>
  <c r="B49" i="2"/>
  <c r="C49" i="2" l="1"/>
  <c r="F49" i="2"/>
  <c r="G49" i="2"/>
  <c r="B50" i="2"/>
  <c r="C50" i="2" l="1"/>
  <c r="F50" i="2"/>
  <c r="G50" i="2"/>
  <c r="B51" i="2"/>
  <c r="C51" i="2" l="1"/>
  <c r="F51" i="2"/>
  <c r="G51" i="2"/>
  <c r="B52" i="2"/>
  <c r="C52" i="2" l="1"/>
  <c r="F52" i="2"/>
  <c r="G52" i="2"/>
  <c r="B53" i="2"/>
  <c r="C53" i="2" l="1"/>
  <c r="F53" i="2"/>
  <c r="G53" i="2"/>
  <c r="B54" i="2"/>
  <c r="C54" i="2" l="1"/>
  <c r="F54" i="2"/>
  <c r="G54" i="2"/>
  <c r="B55" i="2"/>
  <c r="C55" i="2" l="1"/>
  <c r="F55" i="2"/>
  <c r="G55" i="2"/>
  <c r="B56" i="2"/>
  <c r="C56" i="2" l="1"/>
  <c r="F56" i="2"/>
  <c r="G56" i="2"/>
  <c r="B57" i="2"/>
  <c r="C57" i="2" l="1"/>
  <c r="F57" i="2"/>
  <c r="G57" i="2"/>
  <c r="B58" i="2"/>
  <c r="C58" i="2" l="1"/>
  <c r="F58" i="2"/>
  <c r="G58" i="2"/>
  <c r="B59" i="2"/>
  <c r="C59" i="2" l="1"/>
  <c r="F59" i="2"/>
  <c r="G59" i="2"/>
  <c r="B60" i="2"/>
  <c r="C60" i="2" l="1"/>
  <c r="F60" i="2"/>
  <c r="G60" i="2"/>
  <c r="B61" i="2"/>
  <c r="C61" i="2" l="1"/>
  <c r="F61" i="2"/>
  <c r="G61" i="2"/>
  <c r="B62" i="2"/>
  <c r="C62" i="2" l="1"/>
  <c r="F62" i="2"/>
  <c r="G62" i="2"/>
  <c r="B63" i="2"/>
  <c r="C63" i="2" l="1"/>
  <c r="F63" i="2"/>
  <c r="G63" i="2"/>
  <c r="B64" i="2"/>
  <c r="C64" i="2" l="1"/>
  <c r="F64" i="2"/>
  <c r="G64" i="2"/>
  <c r="B65" i="2"/>
  <c r="C65" i="2" l="1"/>
  <c r="F65" i="2"/>
  <c r="G65" i="2"/>
  <c r="B66" i="2"/>
  <c r="C66" i="2" l="1"/>
  <c r="G66" i="2"/>
  <c r="F66" i="2"/>
  <c r="B67" i="2"/>
  <c r="C67" i="2" l="1"/>
  <c r="F67" i="2"/>
  <c r="G67" i="2"/>
  <c r="B68" i="2"/>
  <c r="C68" i="2" l="1"/>
  <c r="F68" i="2"/>
  <c r="G68" i="2"/>
  <c r="B69" i="2"/>
  <c r="C69" i="2" l="1"/>
  <c r="F69" i="2"/>
  <c r="G69" i="2"/>
  <c r="B70" i="2"/>
  <c r="C70" i="2" l="1"/>
  <c r="F70" i="2"/>
  <c r="G70" i="2"/>
  <c r="B71" i="2"/>
  <c r="C71" i="2" l="1"/>
  <c r="F71" i="2"/>
  <c r="G71" i="2"/>
  <c r="B72" i="2"/>
  <c r="C72" i="2" l="1"/>
  <c r="F72" i="2"/>
  <c r="G72" i="2"/>
  <c r="B73" i="2"/>
  <c r="C73" i="2" l="1"/>
  <c r="F73" i="2"/>
  <c r="G73" i="2"/>
  <c r="B74" i="2"/>
  <c r="C74" i="2" l="1"/>
  <c r="G74" i="2"/>
  <c r="F74" i="2"/>
  <c r="B75" i="2"/>
  <c r="C75" i="2" l="1"/>
  <c r="F75" i="2"/>
  <c r="G75" i="2"/>
  <c r="B76" i="2"/>
  <c r="C76" i="2" l="1"/>
  <c r="F76" i="2"/>
  <c r="G76" i="2"/>
  <c r="B77" i="2"/>
  <c r="C77" i="2" l="1"/>
  <c r="F77" i="2"/>
  <c r="G77" i="2"/>
  <c r="B78" i="2"/>
  <c r="C78" i="2" l="1"/>
  <c r="F78" i="2"/>
  <c r="G78" i="2"/>
  <c r="B79" i="2"/>
  <c r="C79" i="2" l="1"/>
  <c r="F79" i="2"/>
  <c r="G79" i="2"/>
  <c r="B80" i="2"/>
  <c r="C80" i="2" l="1"/>
  <c r="F80" i="2"/>
  <c r="G80" i="2"/>
  <c r="B81" i="2"/>
  <c r="C81" i="2" l="1"/>
  <c r="F81" i="2"/>
  <c r="G81" i="2"/>
  <c r="B82" i="2"/>
  <c r="C82" i="2" l="1"/>
  <c r="F82" i="2"/>
  <c r="G82" i="2"/>
  <c r="B83" i="2"/>
  <c r="C83" i="2" l="1"/>
  <c r="F83" i="2"/>
  <c r="G83" i="2"/>
  <c r="B84" i="2"/>
  <c r="C84" i="2" l="1"/>
  <c r="F84" i="2"/>
  <c r="G84" i="2"/>
  <c r="B85" i="2"/>
  <c r="C85" i="2" l="1"/>
  <c r="F85" i="2"/>
  <c r="G85" i="2"/>
  <c r="B86" i="2"/>
  <c r="C86" i="2" l="1"/>
  <c r="F86" i="2"/>
  <c r="G86" i="2"/>
  <c r="B87" i="2"/>
  <c r="C87" i="2" l="1"/>
  <c r="F87" i="2"/>
  <c r="G87" i="2"/>
  <c r="B88" i="2"/>
  <c r="C88" i="2" l="1"/>
  <c r="F88" i="2"/>
  <c r="G88" i="2"/>
  <c r="B89" i="2"/>
  <c r="C89" i="2" l="1"/>
  <c r="F89" i="2"/>
  <c r="G89" i="2"/>
  <c r="B90" i="2"/>
  <c r="C90" i="2" l="1"/>
  <c r="F90" i="2"/>
  <c r="G90" i="2"/>
  <c r="B91" i="2"/>
  <c r="C91" i="2" l="1"/>
  <c r="F91" i="2"/>
  <c r="G91" i="2"/>
  <c r="B92" i="2"/>
  <c r="C92" i="2" l="1"/>
  <c r="F92" i="2"/>
  <c r="G92" i="2"/>
  <c r="B93" i="2"/>
  <c r="C93" i="2" l="1"/>
  <c r="F93" i="2"/>
  <c r="G93" i="2"/>
  <c r="B94" i="2"/>
  <c r="C94" i="2" l="1"/>
  <c r="F94" i="2"/>
  <c r="G94" i="2"/>
  <c r="B95" i="2"/>
  <c r="C95" i="2" l="1"/>
  <c r="F95" i="2"/>
  <c r="G95" i="2"/>
  <c r="B96" i="2"/>
  <c r="C96" i="2" l="1"/>
  <c r="F96" i="2"/>
  <c r="G96" i="2"/>
  <c r="B97" i="2"/>
  <c r="C97" i="2" l="1"/>
  <c r="F97" i="2"/>
  <c r="G97" i="2"/>
  <c r="B98" i="2"/>
  <c r="C98" i="2" l="1"/>
  <c r="F98" i="2"/>
  <c r="G98" i="2"/>
  <c r="B99" i="2"/>
  <c r="C99" i="2" l="1"/>
  <c r="F99" i="2"/>
  <c r="G99" i="2"/>
  <c r="B100" i="2"/>
  <c r="C100" i="2" l="1"/>
  <c r="F100" i="2"/>
  <c r="G100" i="2"/>
  <c r="B101" i="2"/>
  <c r="C101" i="2" l="1"/>
  <c r="F101" i="2"/>
  <c r="G101" i="2"/>
  <c r="B102" i="2"/>
  <c r="C102" i="2" l="1"/>
  <c r="F102" i="2"/>
  <c r="G102" i="2"/>
  <c r="B103" i="2"/>
  <c r="C103" i="2" l="1"/>
  <c r="F103" i="2"/>
  <c r="G103" i="2"/>
  <c r="B104" i="2"/>
  <c r="C104" i="2" l="1"/>
  <c r="F104" i="2"/>
  <c r="G104" i="2"/>
  <c r="B105" i="2"/>
  <c r="C105" i="2" l="1"/>
  <c r="F105" i="2"/>
  <c r="G105" i="2"/>
  <c r="B106" i="2"/>
  <c r="C106" i="2" l="1"/>
  <c r="F106" i="2"/>
  <c r="G106" i="2"/>
  <c r="B107" i="2"/>
  <c r="C107" i="2" l="1"/>
  <c r="F107" i="2"/>
  <c r="G107" i="2"/>
  <c r="B108" i="2"/>
  <c r="C108" i="2" l="1"/>
  <c r="F108" i="2"/>
  <c r="G108" i="2"/>
  <c r="B109" i="2"/>
  <c r="C109" i="2" l="1"/>
  <c r="F109" i="2"/>
  <c r="G109" i="2"/>
  <c r="B110" i="2"/>
  <c r="C110" i="2" l="1"/>
  <c r="F110" i="2"/>
  <c r="G110" i="2"/>
  <c r="B111" i="2"/>
  <c r="C111" i="2" l="1"/>
  <c r="F111" i="2"/>
  <c r="G111" i="2"/>
  <c r="B112" i="2"/>
  <c r="C112" i="2" l="1"/>
  <c r="F112" i="2"/>
  <c r="G112" i="2"/>
  <c r="B113" i="2"/>
  <c r="C113" i="2" l="1"/>
  <c r="F113" i="2"/>
  <c r="G113" i="2"/>
  <c r="B114" i="2"/>
  <c r="C114" i="2" l="1"/>
  <c r="F114" i="2"/>
  <c r="G114" i="2"/>
  <c r="B115" i="2"/>
  <c r="C115" i="2" l="1"/>
  <c r="F115" i="2"/>
  <c r="G115" i="2"/>
  <c r="B116" i="2"/>
  <c r="C116" i="2" l="1"/>
  <c r="F116" i="2"/>
  <c r="G116" i="2"/>
  <c r="B117" i="2"/>
  <c r="C117" i="2" l="1"/>
  <c r="F117" i="2"/>
  <c r="G117" i="2"/>
  <c r="B118" i="2"/>
  <c r="C118" i="2" l="1"/>
  <c r="F118" i="2"/>
  <c r="G118" i="2"/>
  <c r="B119" i="2"/>
  <c r="C119" i="2" l="1"/>
  <c r="F119" i="2"/>
  <c r="G119" i="2"/>
  <c r="B120" i="2"/>
  <c r="C120" i="2" l="1"/>
  <c r="F120" i="2"/>
  <c r="G120" i="2"/>
  <c r="B121" i="2"/>
  <c r="C121" i="2" l="1"/>
  <c r="F121" i="2"/>
  <c r="G121" i="2"/>
  <c r="B122" i="2"/>
  <c r="C122" i="2" l="1"/>
  <c r="G122" i="2"/>
  <c r="F122" i="2"/>
  <c r="B123" i="2"/>
  <c r="C123" i="2" l="1"/>
  <c r="F123" i="2"/>
  <c r="G123" i="2"/>
  <c r="B124" i="2"/>
  <c r="C124" i="2" l="1"/>
  <c r="F124" i="2"/>
  <c r="G124" i="2"/>
  <c r="B125" i="2"/>
  <c r="C125" i="2" l="1"/>
  <c r="F125" i="2"/>
  <c r="G125" i="2"/>
  <c r="B126" i="2"/>
  <c r="C126" i="2" l="1"/>
  <c r="F126" i="2"/>
  <c r="G126" i="2"/>
  <c r="B127" i="2"/>
  <c r="C127" i="2" l="1"/>
  <c r="F127" i="2"/>
  <c r="G127" i="2"/>
  <c r="B128" i="2"/>
  <c r="C128" i="2" l="1"/>
  <c r="F128" i="2"/>
  <c r="G128" i="2"/>
  <c r="B129" i="2"/>
  <c r="C129" i="2" l="1"/>
  <c r="F129" i="2"/>
  <c r="G129" i="2"/>
  <c r="B130" i="2"/>
  <c r="C130" i="2" l="1"/>
  <c r="F130" i="2"/>
  <c r="G130" i="2"/>
  <c r="B131" i="2"/>
  <c r="C131" i="2" l="1"/>
  <c r="F131" i="2"/>
  <c r="G131" i="2"/>
  <c r="B132" i="2"/>
  <c r="C132" i="2" l="1"/>
  <c r="F132" i="2"/>
  <c r="G132" i="2"/>
  <c r="B133" i="2"/>
  <c r="C133" i="2" l="1"/>
  <c r="F133" i="2"/>
  <c r="G133" i="2"/>
  <c r="B134" i="2"/>
  <c r="B135" i="2"/>
  <c r="C134" i="2" l="1"/>
  <c r="C135" i="2" s="1"/>
  <c r="F134" i="2"/>
  <c r="F135" i="2" s="1"/>
  <c r="G134" i="2"/>
  <c r="G135" i="2" s="1"/>
  <c r="B136" i="2"/>
  <c r="F136" i="2" l="1"/>
  <c r="G136" i="2"/>
  <c r="C136" i="2"/>
  <c r="B137" i="2"/>
  <c r="F137" i="2" l="1"/>
  <c r="G137" i="2"/>
  <c r="C137" i="2"/>
  <c r="B138" i="2"/>
  <c r="F138" i="2" l="1"/>
  <c r="G138" i="2"/>
  <c r="C138" i="2"/>
  <c r="B139" i="2"/>
  <c r="F139" i="2" l="1"/>
  <c r="G139" i="2"/>
  <c r="C139" i="2"/>
  <c r="B140" i="2"/>
  <c r="F140" i="2" l="1"/>
  <c r="G140" i="2"/>
  <c r="C140" i="2"/>
  <c r="B141" i="2"/>
  <c r="F141" i="2" l="1"/>
  <c r="G141" i="2"/>
  <c r="C141" i="2"/>
  <c r="B142" i="2"/>
  <c r="G142" i="2" l="1"/>
  <c r="F142" i="2"/>
  <c r="C142" i="2"/>
  <c r="B143" i="2"/>
  <c r="F143" i="2" l="1"/>
  <c r="G143" i="2"/>
  <c r="C143" i="2"/>
  <c r="B144" i="2"/>
  <c r="F144" i="2" l="1"/>
  <c r="G144" i="2"/>
  <c r="C144" i="2"/>
  <c r="B145" i="2"/>
  <c r="F145" i="2" l="1"/>
  <c r="G145" i="2"/>
  <c r="C145" i="2"/>
  <c r="B146" i="2"/>
  <c r="F146" i="2" l="1"/>
  <c r="G146" i="2"/>
  <c r="C146" i="2"/>
  <c r="B147" i="2"/>
  <c r="F147" i="2" l="1"/>
  <c r="G147" i="2"/>
  <c r="C147" i="2"/>
  <c r="B148" i="2"/>
  <c r="F148" i="2" l="1"/>
  <c r="G148" i="2"/>
  <c r="C148" i="2"/>
  <c r="B149" i="2"/>
  <c r="F149" i="2" l="1"/>
  <c r="G149" i="2"/>
  <c r="C149" i="2"/>
  <c r="B150" i="2"/>
  <c r="C150" i="2" l="1"/>
  <c r="G150" i="2"/>
  <c r="F150" i="2"/>
  <c r="B151" i="2"/>
  <c r="C151" i="2" l="1"/>
  <c r="F151" i="2"/>
  <c r="G151" i="2"/>
  <c r="B152" i="2"/>
  <c r="C152" i="2" l="1"/>
  <c r="F152" i="2"/>
  <c r="G152" i="2"/>
  <c r="B153" i="2"/>
  <c r="C153" i="2" l="1"/>
  <c r="F153" i="2"/>
  <c r="G153" i="2"/>
  <c r="B154" i="2"/>
  <c r="C154" i="2" l="1"/>
  <c r="F154" i="2"/>
  <c r="G154" i="2"/>
  <c r="B155" i="2"/>
  <c r="C155" i="2" l="1"/>
  <c r="F155" i="2"/>
  <c r="G155" i="2"/>
  <c r="B156" i="2"/>
  <c r="C156" i="2" l="1"/>
  <c r="F156" i="2"/>
  <c r="G156" i="2"/>
  <c r="B157" i="2"/>
  <c r="C157" i="2" l="1"/>
  <c r="F157" i="2"/>
  <c r="G157" i="2"/>
  <c r="B158" i="2"/>
  <c r="C158" i="2" l="1"/>
  <c r="G158" i="2"/>
  <c r="F158" i="2"/>
  <c r="B159" i="2"/>
  <c r="C159" i="2" l="1"/>
  <c r="F159" i="2"/>
  <c r="G159" i="2"/>
  <c r="B160" i="2"/>
  <c r="C160" i="2" l="1"/>
  <c r="F160" i="2"/>
  <c r="G160" i="2"/>
  <c r="B161" i="2"/>
  <c r="C161" i="2" l="1"/>
  <c r="F161" i="2"/>
  <c r="G161" i="2"/>
  <c r="B162" i="2"/>
  <c r="C162" i="2" l="1"/>
  <c r="F162" i="2"/>
  <c r="G162" i="2"/>
  <c r="B163" i="2"/>
  <c r="C163" i="2" l="1"/>
  <c r="F163" i="2"/>
  <c r="G163" i="2"/>
  <c r="B164" i="2"/>
  <c r="C164" i="2" l="1"/>
  <c r="F164" i="2"/>
  <c r="G164" i="2"/>
  <c r="B165" i="2"/>
  <c r="C165" i="2" l="1"/>
  <c r="F165" i="2"/>
  <c r="G165" i="2"/>
  <c r="B166" i="2"/>
  <c r="C166" i="2" l="1"/>
  <c r="G166" i="2"/>
  <c r="F166" i="2"/>
  <c r="B167" i="2"/>
  <c r="C167" i="2" l="1"/>
  <c r="F167" i="2"/>
  <c r="G167" i="2"/>
  <c r="B168" i="2"/>
  <c r="C168" i="2" l="1"/>
  <c r="F168" i="2"/>
  <c r="G168" i="2"/>
  <c r="B169" i="2"/>
  <c r="C169" i="2" l="1"/>
  <c r="F169" i="2"/>
  <c r="G169" i="2"/>
  <c r="B170" i="2"/>
  <c r="C170" i="2" l="1"/>
  <c r="F170" i="2"/>
  <c r="G170" i="2"/>
  <c r="B171" i="2"/>
  <c r="C171" i="2" l="1"/>
  <c r="F171" i="2"/>
  <c r="G171" i="2"/>
  <c r="B172" i="2"/>
  <c r="C172" i="2" l="1"/>
  <c r="F172" i="2"/>
  <c r="G172" i="2"/>
  <c r="B173" i="2"/>
  <c r="C173" i="2" l="1"/>
  <c r="F173" i="2"/>
  <c r="G173" i="2"/>
  <c r="B174" i="2"/>
  <c r="C174" i="2" l="1"/>
  <c r="F174" i="2"/>
  <c r="G174" i="2"/>
  <c r="B175" i="2"/>
  <c r="C175" i="2" l="1"/>
  <c r="F175" i="2"/>
  <c r="G175" i="2"/>
  <c r="B176" i="2"/>
  <c r="C176" i="2" l="1"/>
  <c r="F176" i="2"/>
  <c r="G176" i="2"/>
  <c r="B177" i="2"/>
  <c r="C177" i="2" l="1"/>
  <c r="F177" i="2"/>
  <c r="G177" i="2"/>
  <c r="B178" i="2"/>
  <c r="C178" i="2" l="1"/>
  <c r="F178" i="2"/>
  <c r="G178" i="2"/>
  <c r="B179" i="2"/>
  <c r="C179" i="2" l="1"/>
  <c r="F179" i="2"/>
  <c r="G179" i="2"/>
  <c r="B180" i="2"/>
  <c r="C180" i="2" l="1"/>
  <c r="F180" i="2"/>
  <c r="G180" i="2"/>
  <c r="B181" i="2"/>
  <c r="C181" i="2" l="1"/>
  <c r="F181" i="2"/>
  <c r="G181" i="2"/>
  <c r="B182" i="2"/>
  <c r="C182" i="2" l="1"/>
  <c r="G182" i="2"/>
  <c r="F182" i="2"/>
  <c r="B183" i="2"/>
  <c r="C183" i="2" l="1"/>
  <c r="F183" i="2"/>
  <c r="G183" i="2"/>
  <c r="B184" i="2"/>
  <c r="C184" i="2" l="1"/>
  <c r="F184" i="2"/>
  <c r="G184" i="2"/>
  <c r="B185" i="2"/>
  <c r="C185" i="2" l="1"/>
  <c r="F185" i="2"/>
  <c r="G185" i="2"/>
  <c r="B186" i="2"/>
  <c r="C186" i="2" l="1"/>
  <c r="F186" i="2"/>
  <c r="G186" i="2"/>
  <c r="B187" i="2"/>
  <c r="C187" i="2" l="1"/>
  <c r="F187" i="2"/>
  <c r="G187" i="2"/>
  <c r="B188" i="2"/>
  <c r="C188" i="2" l="1"/>
  <c r="F188" i="2"/>
  <c r="G188" i="2"/>
  <c r="B189" i="2"/>
  <c r="C189" i="2" l="1"/>
  <c r="F189" i="2"/>
  <c r="G189" i="2"/>
  <c r="B190" i="2"/>
  <c r="C190" i="2" l="1"/>
  <c r="G190" i="2"/>
  <c r="F190" i="2"/>
  <c r="B191" i="2"/>
  <c r="C191" i="2" l="1"/>
  <c r="F191" i="2"/>
  <c r="G191" i="2"/>
  <c r="B192" i="2"/>
  <c r="C192" i="2" l="1"/>
  <c r="F192" i="2"/>
  <c r="G192" i="2"/>
  <c r="B193" i="2"/>
  <c r="C193" i="2" l="1"/>
  <c r="F193" i="2"/>
  <c r="G193" i="2"/>
  <c r="B194" i="2"/>
  <c r="C194" i="2" l="1"/>
  <c r="F194" i="2"/>
  <c r="G194" i="2"/>
  <c r="B195" i="2"/>
  <c r="C195" i="2" l="1"/>
  <c r="F195" i="2"/>
  <c r="G195" i="2"/>
  <c r="B196" i="2"/>
  <c r="C196" i="2" l="1"/>
  <c r="F196" i="2"/>
  <c r="G196" i="2"/>
  <c r="B197" i="2"/>
  <c r="C197" i="2" l="1"/>
  <c r="F197" i="2"/>
  <c r="G197" i="2"/>
  <c r="B198" i="2"/>
  <c r="C198" i="2" l="1"/>
  <c r="G198" i="2"/>
  <c r="F198" i="2"/>
  <c r="B199" i="2"/>
  <c r="C199" i="2" l="1"/>
  <c r="F199" i="2"/>
  <c r="G199" i="2"/>
  <c r="B201" i="2"/>
  <c r="B200" i="2"/>
  <c r="C200" i="2" l="1"/>
  <c r="C201" i="2" s="1"/>
  <c r="D201" i="2" s="1"/>
  <c r="F200" i="2"/>
  <c r="F201" i="2" s="1"/>
  <c r="G200" i="2"/>
  <c r="G201" i="2" s="1"/>
  <c r="D200" i="2" l="1"/>
  <c r="D199" i="2" s="1"/>
  <c r="D198" i="2" s="1"/>
  <c r="D197" i="2" s="1"/>
  <c r="D196" i="2" s="1"/>
  <c r="D195" i="2" s="1"/>
  <c r="D194" i="2" s="1"/>
  <c r="D193" i="2" s="1"/>
  <c r="D192" i="2" s="1"/>
  <c r="D191" i="2" s="1"/>
  <c r="D190" i="2" s="1"/>
  <c r="D189" i="2" s="1"/>
  <c r="D188" i="2" s="1"/>
  <c r="D187" i="2" s="1"/>
  <c r="D186" i="2" s="1"/>
  <c r="D185" i="2" s="1"/>
  <c r="D184" i="2" s="1"/>
  <c r="D183" i="2" s="1"/>
  <c r="D182" i="2" s="1"/>
  <c r="D181" i="2" s="1"/>
  <c r="D180" i="2" s="1"/>
  <c r="D179" i="2" s="1"/>
  <c r="D178" i="2" s="1"/>
  <c r="D177" i="2" s="1"/>
  <c r="D176" i="2" s="1"/>
  <c r="D175" i="2" s="1"/>
  <c r="D174" i="2" s="1"/>
  <c r="D173" i="2" s="1"/>
  <c r="D172" i="2" s="1"/>
  <c r="D171" i="2" s="1"/>
  <c r="D170" i="2" s="1"/>
  <c r="D169" i="2" s="1"/>
  <c r="D168" i="2" s="1"/>
  <c r="D167" i="2" s="1"/>
  <c r="D166" i="2" s="1"/>
  <c r="D165" i="2" s="1"/>
  <c r="D164" i="2" s="1"/>
  <c r="D163" i="2" s="1"/>
  <c r="D162" i="2" s="1"/>
  <c r="D161" i="2" s="1"/>
  <c r="D160" i="2" s="1"/>
  <c r="D159" i="2" s="1"/>
  <c r="D158" i="2" s="1"/>
  <c r="D157" i="2" s="1"/>
  <c r="D156" i="2" s="1"/>
  <c r="D155" i="2" s="1"/>
  <c r="D154" i="2" s="1"/>
  <c r="D153" i="2" s="1"/>
  <c r="D152" i="2" s="1"/>
  <c r="D151" i="2" s="1"/>
  <c r="D150" i="2" s="1"/>
  <c r="D149" i="2" s="1"/>
  <c r="D148" i="2" s="1"/>
  <c r="D147" i="2" s="1"/>
  <c r="D146" i="2" s="1"/>
  <c r="D145" i="2" s="1"/>
  <c r="D144" i="2" s="1"/>
  <c r="D143" i="2" s="1"/>
  <c r="D142" i="2" s="1"/>
  <c r="D141" i="2" s="1"/>
  <c r="D140" i="2" s="1"/>
  <c r="D139" i="2" s="1"/>
  <c r="D138" i="2" s="1"/>
  <c r="D137" i="2" s="1"/>
  <c r="D136" i="2" s="1"/>
  <c r="D135" i="2" s="1"/>
  <c r="D134" i="2" s="1"/>
  <c r="D133" i="2" s="1"/>
  <c r="D132" i="2" s="1"/>
  <c r="D131" i="2" s="1"/>
  <c r="D130" i="2" s="1"/>
  <c r="D129" i="2" s="1"/>
  <c r="D128" i="2" s="1"/>
  <c r="D127" i="2" s="1"/>
  <c r="D126" i="2" s="1"/>
  <c r="D125" i="2" s="1"/>
  <c r="D124" i="2" s="1"/>
  <c r="D123" i="2" s="1"/>
  <c r="D122" i="2" s="1"/>
  <c r="D121" i="2" s="1"/>
  <c r="D120" i="2" s="1"/>
  <c r="D119" i="2" s="1"/>
  <c r="D118" i="2" s="1"/>
  <c r="D117" i="2" s="1"/>
  <c r="D116" i="2" s="1"/>
  <c r="D115" i="2" s="1"/>
  <c r="D114" i="2" s="1"/>
  <c r="D113" i="2" s="1"/>
  <c r="D112" i="2" s="1"/>
  <c r="D111" i="2" s="1"/>
  <c r="D110" i="2" s="1"/>
  <c r="D109" i="2" s="1"/>
  <c r="D108" i="2" s="1"/>
  <c r="D107" i="2" s="1"/>
  <c r="D106" i="2" s="1"/>
  <c r="D105" i="2" s="1"/>
  <c r="D104" i="2" s="1"/>
  <c r="D103" i="2" s="1"/>
  <c r="D102" i="2" s="1"/>
  <c r="D101" i="2" s="1"/>
  <c r="D100" i="2" s="1"/>
  <c r="D99" i="2" s="1"/>
  <c r="D98" i="2" s="1"/>
  <c r="D97" i="2" s="1"/>
  <c r="D96" i="2" s="1"/>
  <c r="D95" i="2" s="1"/>
  <c r="D94" i="2" s="1"/>
  <c r="D93" i="2" s="1"/>
  <c r="D92" i="2" s="1"/>
  <c r="D91" i="2" s="1"/>
  <c r="D90" i="2" s="1"/>
  <c r="D89" i="2" s="1"/>
  <c r="D88" i="2" s="1"/>
  <c r="D87" i="2" s="1"/>
  <c r="D86" i="2" s="1"/>
  <c r="D85" i="2" s="1"/>
  <c r="D84" i="2" s="1"/>
  <c r="D83" i="2" s="1"/>
  <c r="D82" i="2" s="1"/>
  <c r="D81" i="2" s="1"/>
  <c r="D80" i="2" s="1"/>
  <c r="D79" i="2" s="1"/>
  <c r="D78" i="2" s="1"/>
  <c r="D77" i="2" s="1"/>
  <c r="D76" i="2" s="1"/>
  <c r="D75" i="2" s="1"/>
  <c r="D74" i="2" s="1"/>
  <c r="D73" i="2" s="1"/>
  <c r="D72" i="2" s="1"/>
  <c r="D71" i="2" s="1"/>
  <c r="D70" i="2" s="1"/>
  <c r="D69" i="2" s="1"/>
  <c r="D68" i="2" s="1"/>
  <c r="D67" i="2" s="1"/>
  <c r="D66" i="2" s="1"/>
  <c r="D65" i="2" s="1"/>
  <c r="D64" i="2" s="1"/>
  <c r="D63" i="2" s="1"/>
  <c r="D62" i="2" s="1"/>
  <c r="D61" i="2" s="1"/>
  <c r="D60" i="2" s="1"/>
  <c r="D59" i="2" s="1"/>
  <c r="D58" i="2" s="1"/>
  <c r="D57" i="2" s="1"/>
  <c r="D56" i="2" s="1"/>
  <c r="D55" i="2" s="1"/>
  <c r="D54" i="2" s="1"/>
  <c r="D53" i="2" s="1"/>
  <c r="D52" i="2" s="1"/>
  <c r="D51" i="2" s="1"/>
  <c r="D50" i="2" s="1"/>
  <c r="D49" i="2" s="1"/>
  <c r="D48" i="2" s="1"/>
  <c r="D47" i="2" s="1"/>
  <c r="D46" i="2" s="1"/>
  <c r="D45" i="2" s="1"/>
  <c r="D44" i="2" s="1"/>
  <c r="D43" i="2" s="1"/>
  <c r="D42" i="2" s="1"/>
  <c r="D41" i="2" s="1"/>
  <c r="D40" i="2" s="1"/>
  <c r="D39" i="2" s="1"/>
  <c r="D38" i="2" s="1"/>
  <c r="D37" i="2" s="1"/>
  <c r="D36" i="2" s="1"/>
  <c r="D35" i="2" s="1"/>
  <c r="D34" i="2" s="1"/>
  <c r="D33" i="2" s="1"/>
  <c r="D32" i="2" s="1"/>
  <c r="D31" i="2" s="1"/>
  <c r="D30" i="2" s="1"/>
  <c r="D29" i="2" s="1"/>
  <c r="D28" i="2" s="1"/>
  <c r="D27" i="2" s="1"/>
  <c r="D26" i="2" s="1"/>
  <c r="D25" i="2" s="1"/>
  <c r="D24" i="2" s="1"/>
  <c r="D23" i="2" s="1"/>
  <c r="D22" i="2" s="1"/>
  <c r="D21" i="2" s="1"/>
  <c r="D20" i="2" s="1"/>
  <c r="D19" i="2" s="1"/>
  <c r="D18" i="2" s="1"/>
  <c r="D17" i="2" s="1"/>
  <c r="D16" i="2" s="1"/>
  <c r="D15" i="2" s="1"/>
  <c r="D14" i="2" s="1"/>
  <c r="D13" i="2" s="1"/>
  <c r="D12" i="2" s="1"/>
  <c r="D11" i="2" s="1"/>
  <c r="D10" i="2" s="1"/>
  <c r="D9" i="2" s="1"/>
  <c r="D8" i="2" s="1"/>
  <c r="D7" i="2" s="1"/>
  <c r="D6" i="2" s="1"/>
  <c r="D5" i="2" s="1"/>
  <c r="D4" i="2" s="1"/>
  <c r="D3" i="2" s="1"/>
  <c r="D2" i="2" s="1"/>
  <c r="E201" i="2"/>
  <c r="E200" i="2" s="1"/>
  <c r="E199" i="2" s="1"/>
  <c r="E198" i="2" s="1"/>
  <c r="E197" i="2" s="1"/>
  <c r="E196" i="2" s="1"/>
  <c r="E195" i="2" s="1"/>
  <c r="E194" i="2" s="1"/>
  <c r="E193" i="2" s="1"/>
  <c r="E192" i="2" s="1"/>
  <c r="E191" i="2" s="1"/>
  <c r="E190" i="2" s="1"/>
  <c r="E189" i="2" s="1"/>
  <c r="E188" i="2" s="1"/>
  <c r="E187" i="2" s="1"/>
  <c r="E186" i="2" s="1"/>
  <c r="E185" i="2" s="1"/>
  <c r="E184" i="2" s="1"/>
  <c r="E183" i="2" s="1"/>
  <c r="E182" i="2" s="1"/>
  <c r="E181" i="2" s="1"/>
  <c r="E180" i="2" s="1"/>
  <c r="E179" i="2" s="1"/>
  <c r="E178" i="2" s="1"/>
  <c r="E177" i="2" s="1"/>
  <c r="E176" i="2" s="1"/>
  <c r="E175" i="2" s="1"/>
  <c r="E174" i="2" s="1"/>
  <c r="E173" i="2" s="1"/>
  <c r="E172" i="2" s="1"/>
  <c r="E171" i="2" s="1"/>
  <c r="E170" i="2" s="1"/>
  <c r="E169" i="2" s="1"/>
  <c r="E168" i="2" s="1"/>
  <c r="E167" i="2" s="1"/>
  <c r="E166" i="2" s="1"/>
  <c r="E165" i="2" s="1"/>
  <c r="E164" i="2" s="1"/>
  <c r="E163" i="2" s="1"/>
  <c r="E162" i="2" s="1"/>
  <c r="E161" i="2" s="1"/>
  <c r="E160" i="2" s="1"/>
  <c r="E159" i="2" s="1"/>
  <c r="E158" i="2" s="1"/>
  <c r="E157" i="2" s="1"/>
  <c r="E156" i="2" s="1"/>
  <c r="E155" i="2" s="1"/>
  <c r="E154" i="2" s="1"/>
  <c r="E153" i="2" s="1"/>
  <c r="E152" i="2" s="1"/>
  <c r="E151" i="2" s="1"/>
  <c r="E150" i="2" s="1"/>
  <c r="E149" i="2" s="1"/>
  <c r="E148" i="2" s="1"/>
  <c r="E147" i="2" s="1"/>
  <c r="E146" i="2" s="1"/>
  <c r="E145" i="2" s="1"/>
  <c r="E144" i="2" s="1"/>
  <c r="E143" i="2" s="1"/>
  <c r="E142" i="2" s="1"/>
  <c r="E141" i="2" s="1"/>
  <c r="E140" i="2" s="1"/>
  <c r="E139" i="2" s="1"/>
  <c r="E138" i="2" s="1"/>
  <c r="E137" i="2" s="1"/>
  <c r="E136" i="2" s="1"/>
  <c r="E135" i="2" s="1"/>
  <c r="E134" i="2" s="1"/>
  <c r="E133" i="2" s="1"/>
  <c r="E132" i="2" s="1"/>
  <c r="E131" i="2" s="1"/>
  <c r="E130" i="2" s="1"/>
  <c r="E129" i="2" s="1"/>
  <c r="E128" i="2" s="1"/>
  <c r="E127" i="2" s="1"/>
  <c r="E126" i="2" s="1"/>
  <c r="E125" i="2" s="1"/>
  <c r="E124" i="2" s="1"/>
  <c r="E123" i="2" s="1"/>
  <c r="E122" i="2" s="1"/>
  <c r="E121" i="2" s="1"/>
  <c r="E120" i="2" s="1"/>
  <c r="E119" i="2" s="1"/>
  <c r="E118" i="2" s="1"/>
  <c r="E117" i="2" s="1"/>
  <c r="E116" i="2" s="1"/>
  <c r="E115" i="2" s="1"/>
  <c r="E114" i="2" s="1"/>
  <c r="E113" i="2" s="1"/>
  <c r="E112" i="2" s="1"/>
  <c r="E111" i="2" s="1"/>
  <c r="E110" i="2" s="1"/>
  <c r="E109" i="2" s="1"/>
  <c r="E108" i="2" s="1"/>
  <c r="E107" i="2" s="1"/>
  <c r="E106" i="2" s="1"/>
  <c r="E105" i="2" s="1"/>
  <c r="E104" i="2" s="1"/>
  <c r="E103" i="2" s="1"/>
  <c r="E102" i="2" s="1"/>
  <c r="E101" i="2" s="1"/>
  <c r="E100" i="2" s="1"/>
  <c r="E99" i="2" s="1"/>
  <c r="E98" i="2" s="1"/>
  <c r="E97" i="2" s="1"/>
  <c r="E96" i="2" s="1"/>
  <c r="E95" i="2" s="1"/>
  <c r="E94" i="2" s="1"/>
  <c r="E93" i="2" s="1"/>
  <c r="E92" i="2" s="1"/>
  <c r="E91" i="2" s="1"/>
  <c r="E90" i="2" s="1"/>
  <c r="E89" i="2" s="1"/>
  <c r="E88" i="2" s="1"/>
  <c r="E87" i="2" s="1"/>
  <c r="E86" i="2" s="1"/>
  <c r="E85" i="2" s="1"/>
  <c r="E84" i="2" s="1"/>
  <c r="E83" i="2" s="1"/>
  <c r="E82" i="2" s="1"/>
  <c r="E81" i="2" s="1"/>
  <c r="E80" i="2" s="1"/>
  <c r="E79" i="2" s="1"/>
  <c r="E78" i="2" s="1"/>
  <c r="E77" i="2" s="1"/>
  <c r="E76" i="2" s="1"/>
  <c r="E75" i="2" s="1"/>
  <c r="E74" i="2" s="1"/>
  <c r="E73" i="2" s="1"/>
  <c r="E72" i="2" s="1"/>
  <c r="E71" i="2" s="1"/>
  <c r="E70" i="2" s="1"/>
  <c r="E69" i="2" s="1"/>
  <c r="E68" i="2" s="1"/>
  <c r="E67" i="2" s="1"/>
  <c r="E66" i="2" s="1"/>
  <c r="E65" i="2" s="1"/>
  <c r="E64" i="2" s="1"/>
  <c r="E63" i="2" s="1"/>
  <c r="E62" i="2" s="1"/>
  <c r="E61" i="2" s="1"/>
  <c r="E60" i="2" s="1"/>
  <c r="E59" i="2" s="1"/>
  <c r="E58" i="2" s="1"/>
  <c r="E57" i="2" s="1"/>
  <c r="E56" i="2" s="1"/>
  <c r="E55" i="2" s="1"/>
  <c r="E54" i="2" s="1"/>
  <c r="E53" i="2" s="1"/>
  <c r="E52" i="2" s="1"/>
  <c r="E51" i="2" s="1"/>
  <c r="E50" i="2" s="1"/>
  <c r="E49" i="2" s="1"/>
  <c r="E48" i="2" s="1"/>
  <c r="E47" i="2" s="1"/>
  <c r="E46" i="2" s="1"/>
  <c r="E45" i="2" s="1"/>
  <c r="E44" i="2" s="1"/>
  <c r="E43" i="2" s="1"/>
  <c r="E42" i="2" s="1"/>
  <c r="E41" i="2" s="1"/>
  <c r="E40" i="2" s="1"/>
  <c r="E39" i="2" s="1"/>
  <c r="E38" i="2" s="1"/>
  <c r="E37" i="2" s="1"/>
  <c r="E36" i="2" s="1"/>
  <c r="E35" i="2" s="1"/>
  <c r="E34" i="2" s="1"/>
  <c r="E33" i="2" s="1"/>
  <c r="E32" i="2" s="1"/>
  <c r="E31" i="2" s="1"/>
  <c r="E30" i="2" s="1"/>
  <c r="E29" i="2" s="1"/>
  <c r="E28" i="2" s="1"/>
  <c r="E27" i="2" s="1"/>
  <c r="E26" i="2" s="1"/>
  <c r="E25" i="2" s="1"/>
  <c r="E24" i="2" s="1"/>
  <c r="E23" i="2" s="1"/>
  <c r="E22" i="2" s="1"/>
  <c r="E21" i="2" s="1"/>
  <c r="E20" i="2" s="1"/>
  <c r="E19" i="2" s="1"/>
  <c r="E18" i="2" s="1"/>
  <c r="E17" i="2" s="1"/>
  <c r="E16" i="2" s="1"/>
  <c r="E15" i="2" s="1"/>
  <c r="E14" i="2" s="1"/>
  <c r="E13" i="2" s="1"/>
  <c r="E12" i="2" s="1"/>
  <c r="E11" i="2" s="1"/>
  <c r="E10" i="2" s="1"/>
  <c r="E9" i="2" s="1"/>
  <c r="E8" i="2" s="1"/>
  <c r="E7" i="2" s="1"/>
  <c r="E6" i="2" s="1"/>
  <c r="E5" i="2" s="1"/>
  <c r="E4" i="2" s="1"/>
  <c r="E3" i="2" s="1"/>
  <c r="E2" i="2" s="1"/>
</calcChain>
</file>

<file path=xl/sharedStrings.xml><?xml version="1.0" encoding="utf-8"?>
<sst xmlns="http://schemas.openxmlformats.org/spreadsheetml/2006/main" count="63" uniqueCount="19">
  <si>
    <t>Product</t>
  </si>
  <si>
    <t>Sample</t>
  </si>
  <si>
    <t>Value</t>
  </si>
  <si>
    <t>n</t>
  </si>
  <si>
    <t>CUMSUM</t>
  </si>
  <si>
    <t>C+</t>
  </si>
  <si>
    <t>C-</t>
  </si>
  <si>
    <t>N+</t>
  </si>
  <si>
    <t>N-</t>
  </si>
  <si>
    <t>Magnitude of process shift</t>
  </si>
  <si>
    <t>k</t>
  </si>
  <si>
    <t>𝜌</t>
  </si>
  <si>
    <t>ARL: n=</t>
  </si>
  <si>
    <t>μ0</t>
  </si>
  <si>
    <t>H</t>
  </si>
  <si>
    <t>σ</t>
  </si>
  <si>
    <t>V Lower arm</t>
  </si>
  <si>
    <t>V Upper arm</t>
  </si>
  <si>
    <t>Max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</si>
</sst>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4" xfId="0" applyBorder="1"/>
    <xf numFmtId="0" fontId="0" fillId="0" borderId="5" xfId="0" applyBorder="1"/>
    <xf numFmtId="2" fontId="0" fillId="0" borderId="4" xfId="0" applyNumberFormat="1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2" fillId="0" borderId="9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3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13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'n=1'!$C$1</c:f>
              <c:strCache>
                <c:ptCount val="1"/>
                <c:pt idx="0">
                  <c:v>CUMSUM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'n=1'!$C$2:$C$400</c:f>
              <c:numCache>
                <c:formatCode>General</c:formatCode>
                <c:ptCount val="399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8</c:v>
                </c:pt>
                <c:pt idx="13">
                  <c:v>11</c:v>
                </c:pt>
                <c:pt idx="14">
                  <c:v>13</c:v>
                </c:pt>
                <c:pt idx="15">
                  <c:v>15</c:v>
                </c:pt>
                <c:pt idx="16">
                  <c:v>12</c:v>
                </c:pt>
                <c:pt idx="17">
                  <c:v>15</c:v>
                </c:pt>
                <c:pt idx="18">
                  <c:v>15</c:v>
                </c:pt>
                <c:pt idx="19">
                  <c:v>18</c:v>
                </c:pt>
                <c:pt idx="20">
                  <c:v>15</c:v>
                </c:pt>
                <c:pt idx="21">
                  <c:v>18</c:v>
                </c:pt>
                <c:pt idx="22">
                  <c:v>20</c:v>
                </c:pt>
                <c:pt idx="23">
                  <c:v>22</c:v>
                </c:pt>
                <c:pt idx="24">
                  <c:v>19</c:v>
                </c:pt>
                <c:pt idx="25">
                  <c:v>17</c:v>
                </c:pt>
                <c:pt idx="26">
                  <c:v>17</c:v>
                </c:pt>
                <c:pt idx="27">
                  <c:v>14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10</c:v>
                </c:pt>
                <c:pt idx="32">
                  <c:v>11</c:v>
                </c:pt>
                <c:pt idx="33">
                  <c:v>10</c:v>
                </c:pt>
                <c:pt idx="34">
                  <c:v>9</c:v>
                </c:pt>
                <c:pt idx="35">
                  <c:v>8</c:v>
                </c:pt>
                <c:pt idx="36">
                  <c:v>6</c:v>
                </c:pt>
                <c:pt idx="37">
                  <c:v>7</c:v>
                </c:pt>
                <c:pt idx="38">
                  <c:v>5</c:v>
                </c:pt>
                <c:pt idx="39">
                  <c:v>7</c:v>
                </c:pt>
                <c:pt idx="40">
                  <c:v>8</c:v>
                </c:pt>
                <c:pt idx="41">
                  <c:v>5</c:v>
                </c:pt>
                <c:pt idx="42">
                  <c:v>6</c:v>
                </c:pt>
                <c:pt idx="43">
                  <c:v>4</c:v>
                </c:pt>
                <c:pt idx="44">
                  <c:v>6</c:v>
                </c:pt>
                <c:pt idx="45">
                  <c:v>7</c:v>
                </c:pt>
                <c:pt idx="46">
                  <c:v>4</c:v>
                </c:pt>
                <c:pt idx="47">
                  <c:v>2</c:v>
                </c:pt>
                <c:pt idx="48">
                  <c:v>5</c:v>
                </c:pt>
                <c:pt idx="49">
                  <c:v>9</c:v>
                </c:pt>
                <c:pt idx="50">
                  <c:v>9</c:v>
                </c:pt>
                <c:pt idx="51">
                  <c:v>12</c:v>
                </c:pt>
                <c:pt idx="52">
                  <c:v>14</c:v>
                </c:pt>
                <c:pt idx="53">
                  <c:v>18</c:v>
                </c:pt>
                <c:pt idx="54">
                  <c:v>15</c:v>
                </c:pt>
                <c:pt idx="55">
                  <c:v>17</c:v>
                </c:pt>
                <c:pt idx="56">
                  <c:v>19</c:v>
                </c:pt>
                <c:pt idx="57">
                  <c:v>21</c:v>
                </c:pt>
                <c:pt idx="58">
                  <c:v>18</c:v>
                </c:pt>
                <c:pt idx="59">
                  <c:v>20</c:v>
                </c:pt>
                <c:pt idx="60">
                  <c:v>18</c:v>
                </c:pt>
                <c:pt idx="61">
                  <c:v>20</c:v>
                </c:pt>
                <c:pt idx="62">
                  <c:v>22</c:v>
                </c:pt>
                <c:pt idx="63">
                  <c:v>23</c:v>
                </c:pt>
                <c:pt idx="64">
                  <c:v>25</c:v>
                </c:pt>
                <c:pt idx="65">
                  <c:v>23</c:v>
                </c:pt>
                <c:pt idx="66">
                  <c:v>22</c:v>
                </c:pt>
                <c:pt idx="67">
                  <c:v>18</c:v>
                </c:pt>
                <c:pt idx="68">
                  <c:v>14</c:v>
                </c:pt>
                <c:pt idx="69">
                  <c:v>13</c:v>
                </c:pt>
                <c:pt idx="70">
                  <c:v>17</c:v>
                </c:pt>
                <c:pt idx="71">
                  <c:v>16</c:v>
                </c:pt>
                <c:pt idx="72">
                  <c:v>12</c:v>
                </c:pt>
                <c:pt idx="73">
                  <c:v>9</c:v>
                </c:pt>
                <c:pt idx="74">
                  <c:v>10</c:v>
                </c:pt>
                <c:pt idx="75">
                  <c:v>9</c:v>
                </c:pt>
                <c:pt idx="76">
                  <c:v>11</c:v>
                </c:pt>
                <c:pt idx="77">
                  <c:v>11</c:v>
                </c:pt>
                <c:pt idx="78">
                  <c:v>15</c:v>
                </c:pt>
                <c:pt idx="79">
                  <c:v>16</c:v>
                </c:pt>
                <c:pt idx="80">
                  <c:v>16</c:v>
                </c:pt>
                <c:pt idx="81">
                  <c:v>15</c:v>
                </c:pt>
                <c:pt idx="82">
                  <c:v>13</c:v>
                </c:pt>
                <c:pt idx="83">
                  <c:v>12</c:v>
                </c:pt>
                <c:pt idx="84">
                  <c:v>9</c:v>
                </c:pt>
                <c:pt idx="85">
                  <c:v>8</c:v>
                </c:pt>
                <c:pt idx="86">
                  <c:v>12</c:v>
                </c:pt>
                <c:pt idx="87">
                  <c:v>10</c:v>
                </c:pt>
                <c:pt idx="88">
                  <c:v>14</c:v>
                </c:pt>
                <c:pt idx="89">
                  <c:v>16</c:v>
                </c:pt>
                <c:pt idx="90">
                  <c:v>15</c:v>
                </c:pt>
                <c:pt idx="91">
                  <c:v>19</c:v>
                </c:pt>
                <c:pt idx="92">
                  <c:v>24</c:v>
                </c:pt>
                <c:pt idx="93">
                  <c:v>26</c:v>
                </c:pt>
                <c:pt idx="94">
                  <c:v>24</c:v>
                </c:pt>
                <c:pt idx="95">
                  <c:v>20</c:v>
                </c:pt>
                <c:pt idx="96">
                  <c:v>16</c:v>
                </c:pt>
                <c:pt idx="97">
                  <c:v>21</c:v>
                </c:pt>
                <c:pt idx="98">
                  <c:v>19</c:v>
                </c:pt>
                <c:pt idx="99">
                  <c:v>23</c:v>
                </c:pt>
                <c:pt idx="100">
                  <c:v>24</c:v>
                </c:pt>
                <c:pt idx="101">
                  <c:v>24</c:v>
                </c:pt>
                <c:pt idx="102">
                  <c:v>22</c:v>
                </c:pt>
                <c:pt idx="103">
                  <c:v>22</c:v>
                </c:pt>
                <c:pt idx="104">
                  <c:v>19</c:v>
                </c:pt>
                <c:pt idx="105">
                  <c:v>16</c:v>
                </c:pt>
                <c:pt idx="106">
                  <c:v>18</c:v>
                </c:pt>
                <c:pt idx="107">
                  <c:v>18</c:v>
                </c:pt>
                <c:pt idx="108">
                  <c:v>17</c:v>
                </c:pt>
                <c:pt idx="109">
                  <c:v>16</c:v>
                </c:pt>
                <c:pt idx="110">
                  <c:v>19</c:v>
                </c:pt>
                <c:pt idx="111">
                  <c:v>15</c:v>
                </c:pt>
                <c:pt idx="112">
                  <c:v>20</c:v>
                </c:pt>
                <c:pt idx="113">
                  <c:v>18</c:v>
                </c:pt>
                <c:pt idx="114">
                  <c:v>14</c:v>
                </c:pt>
                <c:pt idx="115">
                  <c:v>13</c:v>
                </c:pt>
                <c:pt idx="116">
                  <c:v>17</c:v>
                </c:pt>
                <c:pt idx="117">
                  <c:v>21</c:v>
                </c:pt>
                <c:pt idx="118">
                  <c:v>21</c:v>
                </c:pt>
                <c:pt idx="119">
                  <c:v>23</c:v>
                </c:pt>
                <c:pt idx="120">
                  <c:v>19</c:v>
                </c:pt>
                <c:pt idx="121">
                  <c:v>21</c:v>
                </c:pt>
                <c:pt idx="122">
                  <c:v>23</c:v>
                </c:pt>
                <c:pt idx="123">
                  <c:v>23</c:v>
                </c:pt>
                <c:pt idx="124">
                  <c:v>27</c:v>
                </c:pt>
                <c:pt idx="125">
                  <c:v>28</c:v>
                </c:pt>
                <c:pt idx="126">
                  <c:v>29</c:v>
                </c:pt>
                <c:pt idx="127">
                  <c:v>32</c:v>
                </c:pt>
                <c:pt idx="128">
                  <c:v>34</c:v>
                </c:pt>
                <c:pt idx="129">
                  <c:v>36</c:v>
                </c:pt>
                <c:pt idx="130">
                  <c:v>35</c:v>
                </c:pt>
                <c:pt idx="131">
                  <c:v>31</c:v>
                </c:pt>
                <c:pt idx="132">
                  <c:v>34</c:v>
                </c:pt>
                <c:pt idx="133">
                  <c:v>33</c:v>
                </c:pt>
                <c:pt idx="134">
                  <c:v>29</c:v>
                </c:pt>
                <c:pt idx="135">
                  <c:v>25</c:v>
                </c:pt>
                <c:pt idx="136">
                  <c:v>22</c:v>
                </c:pt>
                <c:pt idx="137">
                  <c:v>26</c:v>
                </c:pt>
                <c:pt idx="138">
                  <c:v>22</c:v>
                </c:pt>
                <c:pt idx="139">
                  <c:v>19</c:v>
                </c:pt>
                <c:pt idx="140">
                  <c:v>24</c:v>
                </c:pt>
                <c:pt idx="141">
                  <c:v>22</c:v>
                </c:pt>
                <c:pt idx="142">
                  <c:v>25</c:v>
                </c:pt>
                <c:pt idx="143">
                  <c:v>27</c:v>
                </c:pt>
                <c:pt idx="144">
                  <c:v>25</c:v>
                </c:pt>
                <c:pt idx="145">
                  <c:v>30</c:v>
                </c:pt>
                <c:pt idx="146">
                  <c:v>28</c:v>
                </c:pt>
                <c:pt idx="147">
                  <c:v>30</c:v>
                </c:pt>
                <c:pt idx="148">
                  <c:v>31</c:v>
                </c:pt>
                <c:pt idx="149">
                  <c:v>28</c:v>
                </c:pt>
                <c:pt idx="150">
                  <c:v>25</c:v>
                </c:pt>
                <c:pt idx="151">
                  <c:v>22</c:v>
                </c:pt>
                <c:pt idx="152">
                  <c:v>21</c:v>
                </c:pt>
                <c:pt idx="153">
                  <c:v>22</c:v>
                </c:pt>
                <c:pt idx="154">
                  <c:v>20</c:v>
                </c:pt>
                <c:pt idx="155">
                  <c:v>20</c:v>
                </c:pt>
                <c:pt idx="156">
                  <c:v>17</c:v>
                </c:pt>
                <c:pt idx="157">
                  <c:v>14</c:v>
                </c:pt>
                <c:pt idx="158">
                  <c:v>14</c:v>
                </c:pt>
                <c:pt idx="159">
                  <c:v>14</c:v>
                </c:pt>
                <c:pt idx="160">
                  <c:v>17</c:v>
                </c:pt>
                <c:pt idx="161">
                  <c:v>15</c:v>
                </c:pt>
                <c:pt idx="162">
                  <c:v>12</c:v>
                </c:pt>
                <c:pt idx="163">
                  <c:v>14</c:v>
                </c:pt>
                <c:pt idx="164">
                  <c:v>17</c:v>
                </c:pt>
                <c:pt idx="165">
                  <c:v>21</c:v>
                </c:pt>
                <c:pt idx="166">
                  <c:v>27</c:v>
                </c:pt>
                <c:pt idx="167">
                  <c:v>28</c:v>
                </c:pt>
                <c:pt idx="168">
                  <c:v>28</c:v>
                </c:pt>
                <c:pt idx="169">
                  <c:v>25</c:v>
                </c:pt>
                <c:pt idx="170">
                  <c:v>24</c:v>
                </c:pt>
                <c:pt idx="171">
                  <c:v>24</c:v>
                </c:pt>
                <c:pt idx="172">
                  <c:v>30</c:v>
                </c:pt>
                <c:pt idx="173">
                  <c:v>31</c:v>
                </c:pt>
                <c:pt idx="174">
                  <c:v>37</c:v>
                </c:pt>
                <c:pt idx="175">
                  <c:v>35</c:v>
                </c:pt>
                <c:pt idx="176">
                  <c:v>38</c:v>
                </c:pt>
                <c:pt idx="177">
                  <c:v>41</c:v>
                </c:pt>
                <c:pt idx="178">
                  <c:v>40</c:v>
                </c:pt>
                <c:pt idx="179">
                  <c:v>40</c:v>
                </c:pt>
                <c:pt idx="180">
                  <c:v>36</c:v>
                </c:pt>
                <c:pt idx="181">
                  <c:v>33</c:v>
                </c:pt>
                <c:pt idx="182">
                  <c:v>31</c:v>
                </c:pt>
                <c:pt idx="183">
                  <c:v>27</c:v>
                </c:pt>
                <c:pt idx="184">
                  <c:v>28</c:v>
                </c:pt>
                <c:pt idx="185">
                  <c:v>26</c:v>
                </c:pt>
                <c:pt idx="186">
                  <c:v>30</c:v>
                </c:pt>
                <c:pt idx="187">
                  <c:v>36</c:v>
                </c:pt>
                <c:pt idx="188">
                  <c:v>35</c:v>
                </c:pt>
                <c:pt idx="189">
                  <c:v>37</c:v>
                </c:pt>
                <c:pt idx="190">
                  <c:v>39</c:v>
                </c:pt>
                <c:pt idx="191">
                  <c:v>35</c:v>
                </c:pt>
                <c:pt idx="192">
                  <c:v>35</c:v>
                </c:pt>
                <c:pt idx="193">
                  <c:v>41</c:v>
                </c:pt>
                <c:pt idx="194">
                  <c:v>39</c:v>
                </c:pt>
                <c:pt idx="195">
                  <c:v>39</c:v>
                </c:pt>
                <c:pt idx="196">
                  <c:v>37</c:v>
                </c:pt>
                <c:pt idx="197">
                  <c:v>39</c:v>
                </c:pt>
                <c:pt idx="198">
                  <c:v>37</c:v>
                </c:pt>
                <c:pt idx="199">
                  <c:v>39</c:v>
                </c:pt>
                <c:pt idx="200">
                  <c:v>36</c:v>
                </c:pt>
                <c:pt idx="201">
                  <c:v>40</c:v>
                </c:pt>
                <c:pt idx="202">
                  <c:v>43</c:v>
                </c:pt>
                <c:pt idx="203">
                  <c:v>42</c:v>
                </c:pt>
                <c:pt idx="204">
                  <c:v>39</c:v>
                </c:pt>
                <c:pt idx="205">
                  <c:v>44</c:v>
                </c:pt>
                <c:pt idx="206">
                  <c:v>48</c:v>
                </c:pt>
                <c:pt idx="207">
                  <c:v>50</c:v>
                </c:pt>
                <c:pt idx="208">
                  <c:v>48</c:v>
                </c:pt>
                <c:pt idx="209">
                  <c:v>53</c:v>
                </c:pt>
                <c:pt idx="210">
                  <c:v>56</c:v>
                </c:pt>
                <c:pt idx="211">
                  <c:v>55</c:v>
                </c:pt>
                <c:pt idx="212">
                  <c:v>52</c:v>
                </c:pt>
                <c:pt idx="213">
                  <c:v>57</c:v>
                </c:pt>
                <c:pt idx="214">
                  <c:v>53</c:v>
                </c:pt>
                <c:pt idx="215">
                  <c:v>55</c:v>
                </c:pt>
                <c:pt idx="216">
                  <c:v>51</c:v>
                </c:pt>
                <c:pt idx="217">
                  <c:v>54</c:v>
                </c:pt>
                <c:pt idx="218">
                  <c:v>57</c:v>
                </c:pt>
                <c:pt idx="219">
                  <c:v>58</c:v>
                </c:pt>
                <c:pt idx="220">
                  <c:v>60</c:v>
                </c:pt>
                <c:pt idx="221">
                  <c:v>64</c:v>
                </c:pt>
                <c:pt idx="222">
                  <c:v>62</c:v>
                </c:pt>
                <c:pt idx="223">
                  <c:v>61</c:v>
                </c:pt>
                <c:pt idx="224">
                  <c:v>67</c:v>
                </c:pt>
                <c:pt idx="225">
                  <c:v>67</c:v>
                </c:pt>
                <c:pt idx="226">
                  <c:v>63</c:v>
                </c:pt>
                <c:pt idx="227">
                  <c:v>59</c:v>
                </c:pt>
                <c:pt idx="228">
                  <c:v>56</c:v>
                </c:pt>
                <c:pt idx="229">
                  <c:v>56</c:v>
                </c:pt>
                <c:pt idx="230">
                  <c:v>58</c:v>
                </c:pt>
                <c:pt idx="231">
                  <c:v>56</c:v>
                </c:pt>
                <c:pt idx="232">
                  <c:v>58</c:v>
                </c:pt>
                <c:pt idx="233">
                  <c:v>59</c:v>
                </c:pt>
                <c:pt idx="234">
                  <c:v>62</c:v>
                </c:pt>
                <c:pt idx="235">
                  <c:v>63</c:v>
                </c:pt>
                <c:pt idx="236">
                  <c:v>65</c:v>
                </c:pt>
                <c:pt idx="237">
                  <c:v>60</c:v>
                </c:pt>
                <c:pt idx="238">
                  <c:v>59</c:v>
                </c:pt>
                <c:pt idx="239">
                  <c:v>59</c:v>
                </c:pt>
                <c:pt idx="240">
                  <c:v>64</c:v>
                </c:pt>
                <c:pt idx="241">
                  <c:v>62</c:v>
                </c:pt>
                <c:pt idx="242">
                  <c:v>61</c:v>
                </c:pt>
                <c:pt idx="243">
                  <c:v>60</c:v>
                </c:pt>
                <c:pt idx="244">
                  <c:v>62</c:v>
                </c:pt>
                <c:pt idx="245">
                  <c:v>63</c:v>
                </c:pt>
                <c:pt idx="246">
                  <c:v>69</c:v>
                </c:pt>
                <c:pt idx="247">
                  <c:v>71</c:v>
                </c:pt>
                <c:pt idx="248">
                  <c:v>69</c:v>
                </c:pt>
                <c:pt idx="249">
                  <c:v>74</c:v>
                </c:pt>
                <c:pt idx="250">
                  <c:v>80</c:v>
                </c:pt>
                <c:pt idx="251">
                  <c:v>77</c:v>
                </c:pt>
                <c:pt idx="252">
                  <c:v>79</c:v>
                </c:pt>
                <c:pt idx="253">
                  <c:v>86</c:v>
                </c:pt>
                <c:pt idx="254">
                  <c:v>91</c:v>
                </c:pt>
                <c:pt idx="255">
                  <c:v>88</c:v>
                </c:pt>
                <c:pt idx="256">
                  <c:v>95</c:v>
                </c:pt>
                <c:pt idx="257">
                  <c:v>101</c:v>
                </c:pt>
                <c:pt idx="258">
                  <c:v>98</c:v>
                </c:pt>
                <c:pt idx="259">
                  <c:v>104</c:v>
                </c:pt>
                <c:pt idx="260">
                  <c:v>108</c:v>
                </c:pt>
                <c:pt idx="261">
                  <c:v>103</c:v>
                </c:pt>
                <c:pt idx="262">
                  <c:v>107</c:v>
                </c:pt>
                <c:pt idx="263">
                  <c:v>113</c:v>
                </c:pt>
                <c:pt idx="264">
                  <c:v>114</c:v>
                </c:pt>
                <c:pt idx="265">
                  <c:v>119</c:v>
                </c:pt>
                <c:pt idx="266">
                  <c:v>119</c:v>
                </c:pt>
                <c:pt idx="267">
                  <c:v>117</c:v>
                </c:pt>
                <c:pt idx="268">
                  <c:v>116</c:v>
                </c:pt>
                <c:pt idx="269">
                  <c:v>113</c:v>
                </c:pt>
                <c:pt idx="270">
                  <c:v>112</c:v>
                </c:pt>
                <c:pt idx="271">
                  <c:v>108</c:v>
                </c:pt>
                <c:pt idx="272">
                  <c:v>106</c:v>
                </c:pt>
                <c:pt idx="273">
                  <c:v>109</c:v>
                </c:pt>
                <c:pt idx="274">
                  <c:v>113</c:v>
                </c:pt>
                <c:pt idx="275">
                  <c:v>114</c:v>
                </c:pt>
                <c:pt idx="276">
                  <c:v>118</c:v>
                </c:pt>
                <c:pt idx="277">
                  <c:v>119</c:v>
                </c:pt>
                <c:pt idx="278">
                  <c:v>114</c:v>
                </c:pt>
                <c:pt idx="279">
                  <c:v>121</c:v>
                </c:pt>
                <c:pt idx="280">
                  <c:v>119</c:v>
                </c:pt>
                <c:pt idx="281">
                  <c:v>115</c:v>
                </c:pt>
                <c:pt idx="282">
                  <c:v>116</c:v>
                </c:pt>
                <c:pt idx="283">
                  <c:v>123</c:v>
                </c:pt>
                <c:pt idx="284">
                  <c:v>127</c:v>
                </c:pt>
                <c:pt idx="285">
                  <c:v>122</c:v>
                </c:pt>
                <c:pt idx="286">
                  <c:v>126</c:v>
                </c:pt>
                <c:pt idx="287">
                  <c:v>129</c:v>
                </c:pt>
                <c:pt idx="288">
                  <c:v>133</c:v>
                </c:pt>
                <c:pt idx="289">
                  <c:v>139</c:v>
                </c:pt>
                <c:pt idx="290">
                  <c:v>137</c:v>
                </c:pt>
                <c:pt idx="291">
                  <c:v>133</c:v>
                </c:pt>
                <c:pt idx="292">
                  <c:v>139</c:v>
                </c:pt>
                <c:pt idx="293">
                  <c:v>140</c:v>
                </c:pt>
                <c:pt idx="294">
                  <c:v>147</c:v>
                </c:pt>
                <c:pt idx="295">
                  <c:v>151</c:v>
                </c:pt>
                <c:pt idx="296">
                  <c:v>154</c:v>
                </c:pt>
                <c:pt idx="297">
                  <c:v>155</c:v>
                </c:pt>
                <c:pt idx="298">
                  <c:v>156</c:v>
                </c:pt>
                <c:pt idx="299">
                  <c:v>162</c:v>
                </c:pt>
                <c:pt idx="300">
                  <c:v>164</c:v>
                </c:pt>
                <c:pt idx="301">
                  <c:v>163</c:v>
                </c:pt>
                <c:pt idx="302">
                  <c:v>158</c:v>
                </c:pt>
                <c:pt idx="303">
                  <c:v>156</c:v>
                </c:pt>
                <c:pt idx="304">
                  <c:v>161</c:v>
                </c:pt>
                <c:pt idx="305">
                  <c:v>160</c:v>
                </c:pt>
                <c:pt idx="306">
                  <c:v>166</c:v>
                </c:pt>
                <c:pt idx="307">
                  <c:v>161</c:v>
                </c:pt>
                <c:pt idx="308">
                  <c:v>157</c:v>
                </c:pt>
                <c:pt idx="309">
                  <c:v>159</c:v>
                </c:pt>
                <c:pt idx="310">
                  <c:v>162</c:v>
                </c:pt>
                <c:pt idx="311">
                  <c:v>158</c:v>
                </c:pt>
                <c:pt idx="312">
                  <c:v>162</c:v>
                </c:pt>
                <c:pt idx="313">
                  <c:v>157</c:v>
                </c:pt>
                <c:pt idx="314">
                  <c:v>161</c:v>
                </c:pt>
                <c:pt idx="315">
                  <c:v>165</c:v>
                </c:pt>
                <c:pt idx="316">
                  <c:v>161</c:v>
                </c:pt>
                <c:pt idx="317">
                  <c:v>166</c:v>
                </c:pt>
                <c:pt idx="318">
                  <c:v>164</c:v>
                </c:pt>
                <c:pt idx="319">
                  <c:v>161</c:v>
                </c:pt>
                <c:pt idx="320">
                  <c:v>167</c:v>
                </c:pt>
                <c:pt idx="321">
                  <c:v>169</c:v>
                </c:pt>
                <c:pt idx="322">
                  <c:v>174</c:v>
                </c:pt>
                <c:pt idx="323">
                  <c:v>178</c:v>
                </c:pt>
                <c:pt idx="324">
                  <c:v>178</c:v>
                </c:pt>
                <c:pt idx="325">
                  <c:v>179</c:v>
                </c:pt>
                <c:pt idx="326">
                  <c:v>178</c:v>
                </c:pt>
                <c:pt idx="327">
                  <c:v>174</c:v>
                </c:pt>
                <c:pt idx="328">
                  <c:v>170</c:v>
                </c:pt>
                <c:pt idx="329">
                  <c:v>168</c:v>
                </c:pt>
                <c:pt idx="330">
                  <c:v>171</c:v>
                </c:pt>
                <c:pt idx="331">
                  <c:v>168</c:v>
                </c:pt>
                <c:pt idx="332">
                  <c:v>164</c:v>
                </c:pt>
                <c:pt idx="333">
                  <c:v>169</c:v>
                </c:pt>
                <c:pt idx="334">
                  <c:v>169</c:v>
                </c:pt>
                <c:pt idx="335">
                  <c:v>166</c:v>
                </c:pt>
                <c:pt idx="336">
                  <c:v>163</c:v>
                </c:pt>
                <c:pt idx="337">
                  <c:v>163</c:v>
                </c:pt>
                <c:pt idx="338">
                  <c:v>167</c:v>
                </c:pt>
                <c:pt idx="339">
                  <c:v>168</c:v>
                </c:pt>
                <c:pt idx="340">
                  <c:v>164</c:v>
                </c:pt>
                <c:pt idx="341">
                  <c:v>168</c:v>
                </c:pt>
                <c:pt idx="342">
                  <c:v>170</c:v>
                </c:pt>
                <c:pt idx="343">
                  <c:v>170</c:v>
                </c:pt>
                <c:pt idx="344">
                  <c:v>169</c:v>
                </c:pt>
                <c:pt idx="345">
                  <c:v>173</c:v>
                </c:pt>
                <c:pt idx="346">
                  <c:v>171</c:v>
                </c:pt>
                <c:pt idx="347">
                  <c:v>174</c:v>
                </c:pt>
                <c:pt idx="348">
                  <c:v>171</c:v>
                </c:pt>
                <c:pt idx="349">
                  <c:v>174</c:v>
                </c:pt>
                <c:pt idx="350">
                  <c:v>181</c:v>
                </c:pt>
                <c:pt idx="351">
                  <c:v>178</c:v>
                </c:pt>
                <c:pt idx="352">
                  <c:v>181</c:v>
                </c:pt>
                <c:pt idx="353">
                  <c:v>180</c:v>
                </c:pt>
                <c:pt idx="354">
                  <c:v>179</c:v>
                </c:pt>
                <c:pt idx="355">
                  <c:v>184</c:v>
                </c:pt>
                <c:pt idx="356">
                  <c:v>187</c:v>
                </c:pt>
                <c:pt idx="357">
                  <c:v>189</c:v>
                </c:pt>
                <c:pt idx="358">
                  <c:v>191</c:v>
                </c:pt>
                <c:pt idx="359">
                  <c:v>194</c:v>
                </c:pt>
                <c:pt idx="360">
                  <c:v>199</c:v>
                </c:pt>
                <c:pt idx="361">
                  <c:v>199</c:v>
                </c:pt>
                <c:pt idx="362">
                  <c:v>204</c:v>
                </c:pt>
                <c:pt idx="363">
                  <c:v>207</c:v>
                </c:pt>
                <c:pt idx="364">
                  <c:v>208</c:v>
                </c:pt>
                <c:pt idx="365">
                  <c:v>212</c:v>
                </c:pt>
                <c:pt idx="366">
                  <c:v>213</c:v>
                </c:pt>
                <c:pt idx="367">
                  <c:v>219</c:v>
                </c:pt>
                <c:pt idx="368">
                  <c:v>219</c:v>
                </c:pt>
                <c:pt idx="369">
                  <c:v>224</c:v>
                </c:pt>
                <c:pt idx="370">
                  <c:v>230</c:v>
                </c:pt>
                <c:pt idx="371">
                  <c:v>236</c:v>
                </c:pt>
                <c:pt idx="372">
                  <c:v>240</c:v>
                </c:pt>
                <c:pt idx="373">
                  <c:v>241</c:v>
                </c:pt>
                <c:pt idx="374">
                  <c:v>243</c:v>
                </c:pt>
                <c:pt idx="375">
                  <c:v>242</c:v>
                </c:pt>
                <c:pt idx="376">
                  <c:v>237</c:v>
                </c:pt>
                <c:pt idx="377">
                  <c:v>239</c:v>
                </c:pt>
                <c:pt idx="378">
                  <c:v>246</c:v>
                </c:pt>
                <c:pt idx="379">
                  <c:v>245</c:v>
                </c:pt>
                <c:pt idx="380">
                  <c:v>240</c:v>
                </c:pt>
                <c:pt idx="381">
                  <c:v>244</c:v>
                </c:pt>
                <c:pt idx="382">
                  <c:v>252</c:v>
                </c:pt>
                <c:pt idx="383">
                  <c:v>251</c:v>
                </c:pt>
                <c:pt idx="384">
                  <c:v>250</c:v>
                </c:pt>
                <c:pt idx="385">
                  <c:v>246</c:v>
                </c:pt>
                <c:pt idx="386">
                  <c:v>245</c:v>
                </c:pt>
                <c:pt idx="387">
                  <c:v>248</c:v>
                </c:pt>
                <c:pt idx="388">
                  <c:v>252</c:v>
                </c:pt>
                <c:pt idx="389">
                  <c:v>249</c:v>
                </c:pt>
                <c:pt idx="390">
                  <c:v>252</c:v>
                </c:pt>
                <c:pt idx="391">
                  <c:v>251</c:v>
                </c:pt>
                <c:pt idx="392">
                  <c:v>249</c:v>
                </c:pt>
                <c:pt idx="393">
                  <c:v>256</c:v>
                </c:pt>
                <c:pt idx="394">
                  <c:v>259</c:v>
                </c:pt>
                <c:pt idx="395">
                  <c:v>260</c:v>
                </c:pt>
                <c:pt idx="396">
                  <c:v>255</c:v>
                </c:pt>
                <c:pt idx="397">
                  <c:v>258</c:v>
                </c:pt>
                <c:pt idx="398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E6-48E2-AFAE-84D5DF3CDC5C}"/>
            </c:ext>
          </c:extLst>
        </c:ser>
        <c:ser>
          <c:idx val="1"/>
          <c:order val="1"/>
          <c:tx>
            <c:strRef>
              <c:f>'n=1'!$D$1</c:f>
              <c:strCache>
                <c:ptCount val="1"/>
                <c:pt idx="0">
                  <c:v>V Lower arm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'n=1'!$D$2:$D$400</c:f>
              <c:numCache>
                <c:formatCode>General</c:formatCode>
                <c:ptCount val="399"/>
                <c:pt idx="0">
                  <c:v>51</c:v>
                </c:pt>
                <c:pt idx="1">
                  <c:v>51.5</c:v>
                </c:pt>
                <c:pt idx="2">
                  <c:v>52</c:v>
                </c:pt>
                <c:pt idx="3">
                  <c:v>52.5</c:v>
                </c:pt>
                <c:pt idx="4">
                  <c:v>53</c:v>
                </c:pt>
                <c:pt idx="5">
                  <c:v>53.5</c:v>
                </c:pt>
                <c:pt idx="6">
                  <c:v>54</c:v>
                </c:pt>
                <c:pt idx="7">
                  <c:v>54.5</c:v>
                </c:pt>
                <c:pt idx="8">
                  <c:v>55</c:v>
                </c:pt>
                <c:pt idx="9">
                  <c:v>55.5</c:v>
                </c:pt>
                <c:pt idx="10">
                  <c:v>56</c:v>
                </c:pt>
                <c:pt idx="11">
                  <c:v>56.5</c:v>
                </c:pt>
                <c:pt idx="12">
                  <c:v>57</c:v>
                </c:pt>
                <c:pt idx="13">
                  <c:v>57.5</c:v>
                </c:pt>
                <c:pt idx="14">
                  <c:v>58</c:v>
                </c:pt>
                <c:pt idx="15">
                  <c:v>58.5</c:v>
                </c:pt>
                <c:pt idx="16">
                  <c:v>59</c:v>
                </c:pt>
                <c:pt idx="17">
                  <c:v>59.5</c:v>
                </c:pt>
                <c:pt idx="18">
                  <c:v>60</c:v>
                </c:pt>
                <c:pt idx="19">
                  <c:v>60.5</c:v>
                </c:pt>
                <c:pt idx="20">
                  <c:v>61</c:v>
                </c:pt>
                <c:pt idx="21">
                  <c:v>61.5</c:v>
                </c:pt>
                <c:pt idx="22">
                  <c:v>62</c:v>
                </c:pt>
                <c:pt idx="23">
                  <c:v>62.5</c:v>
                </c:pt>
                <c:pt idx="24">
                  <c:v>63</c:v>
                </c:pt>
                <c:pt idx="25">
                  <c:v>63.5</c:v>
                </c:pt>
                <c:pt idx="26">
                  <c:v>64</c:v>
                </c:pt>
                <c:pt idx="27">
                  <c:v>64.5</c:v>
                </c:pt>
                <c:pt idx="28">
                  <c:v>65</c:v>
                </c:pt>
                <c:pt idx="29">
                  <c:v>65.5</c:v>
                </c:pt>
                <c:pt idx="30">
                  <c:v>66</c:v>
                </c:pt>
                <c:pt idx="31">
                  <c:v>66.5</c:v>
                </c:pt>
                <c:pt idx="32">
                  <c:v>67</c:v>
                </c:pt>
                <c:pt idx="33">
                  <c:v>67.5</c:v>
                </c:pt>
                <c:pt idx="34">
                  <c:v>68</c:v>
                </c:pt>
                <c:pt idx="35">
                  <c:v>68.5</c:v>
                </c:pt>
                <c:pt idx="36">
                  <c:v>69</c:v>
                </c:pt>
                <c:pt idx="37">
                  <c:v>69.5</c:v>
                </c:pt>
                <c:pt idx="38">
                  <c:v>70</c:v>
                </c:pt>
                <c:pt idx="39">
                  <c:v>70.5</c:v>
                </c:pt>
                <c:pt idx="40">
                  <c:v>71</c:v>
                </c:pt>
                <c:pt idx="41">
                  <c:v>71.5</c:v>
                </c:pt>
                <c:pt idx="42">
                  <c:v>72</c:v>
                </c:pt>
                <c:pt idx="43">
                  <c:v>72.5</c:v>
                </c:pt>
                <c:pt idx="44">
                  <c:v>73</c:v>
                </c:pt>
                <c:pt idx="45">
                  <c:v>73.5</c:v>
                </c:pt>
                <c:pt idx="46">
                  <c:v>74</c:v>
                </c:pt>
                <c:pt idx="47">
                  <c:v>74.5</c:v>
                </c:pt>
                <c:pt idx="48">
                  <c:v>75</c:v>
                </c:pt>
                <c:pt idx="49">
                  <c:v>75.5</c:v>
                </c:pt>
                <c:pt idx="50">
                  <c:v>76</c:v>
                </c:pt>
                <c:pt idx="51">
                  <c:v>76.5</c:v>
                </c:pt>
                <c:pt idx="52">
                  <c:v>77</c:v>
                </c:pt>
                <c:pt idx="53">
                  <c:v>77.5</c:v>
                </c:pt>
                <c:pt idx="54">
                  <c:v>78</c:v>
                </c:pt>
                <c:pt idx="55">
                  <c:v>78.5</c:v>
                </c:pt>
                <c:pt idx="56">
                  <c:v>79</c:v>
                </c:pt>
                <c:pt idx="57">
                  <c:v>79.5</c:v>
                </c:pt>
                <c:pt idx="58">
                  <c:v>80</c:v>
                </c:pt>
                <c:pt idx="59">
                  <c:v>80.5</c:v>
                </c:pt>
                <c:pt idx="60">
                  <c:v>81</c:v>
                </c:pt>
                <c:pt idx="61">
                  <c:v>81.5</c:v>
                </c:pt>
                <c:pt idx="62">
                  <c:v>82</c:v>
                </c:pt>
                <c:pt idx="63">
                  <c:v>82.5</c:v>
                </c:pt>
                <c:pt idx="64">
                  <c:v>83</c:v>
                </c:pt>
                <c:pt idx="65">
                  <c:v>83.5</c:v>
                </c:pt>
                <c:pt idx="66">
                  <c:v>84</c:v>
                </c:pt>
                <c:pt idx="67">
                  <c:v>84.5</c:v>
                </c:pt>
                <c:pt idx="68">
                  <c:v>85</c:v>
                </c:pt>
                <c:pt idx="69">
                  <c:v>85.5</c:v>
                </c:pt>
                <c:pt idx="70">
                  <c:v>86</c:v>
                </c:pt>
                <c:pt idx="71">
                  <c:v>86.5</c:v>
                </c:pt>
                <c:pt idx="72">
                  <c:v>87</c:v>
                </c:pt>
                <c:pt idx="73">
                  <c:v>87.5</c:v>
                </c:pt>
                <c:pt idx="74">
                  <c:v>88</c:v>
                </c:pt>
                <c:pt idx="75">
                  <c:v>88.5</c:v>
                </c:pt>
                <c:pt idx="76">
                  <c:v>89</c:v>
                </c:pt>
                <c:pt idx="77">
                  <c:v>89.5</c:v>
                </c:pt>
                <c:pt idx="78">
                  <c:v>90</c:v>
                </c:pt>
                <c:pt idx="79">
                  <c:v>90.5</c:v>
                </c:pt>
                <c:pt idx="80">
                  <c:v>91</c:v>
                </c:pt>
                <c:pt idx="81">
                  <c:v>91.5</c:v>
                </c:pt>
                <c:pt idx="82">
                  <c:v>92</c:v>
                </c:pt>
                <c:pt idx="83">
                  <c:v>92.5</c:v>
                </c:pt>
                <c:pt idx="84">
                  <c:v>93</c:v>
                </c:pt>
                <c:pt idx="85">
                  <c:v>93.5</c:v>
                </c:pt>
                <c:pt idx="86">
                  <c:v>94</c:v>
                </c:pt>
                <c:pt idx="87">
                  <c:v>94.5</c:v>
                </c:pt>
                <c:pt idx="88">
                  <c:v>95</c:v>
                </c:pt>
                <c:pt idx="89">
                  <c:v>95.5</c:v>
                </c:pt>
                <c:pt idx="90">
                  <c:v>96</c:v>
                </c:pt>
                <c:pt idx="91">
                  <c:v>96.5</c:v>
                </c:pt>
                <c:pt idx="92">
                  <c:v>97</c:v>
                </c:pt>
                <c:pt idx="93">
                  <c:v>97.5</c:v>
                </c:pt>
                <c:pt idx="94">
                  <c:v>98</c:v>
                </c:pt>
                <c:pt idx="95">
                  <c:v>98.5</c:v>
                </c:pt>
                <c:pt idx="96">
                  <c:v>99</c:v>
                </c:pt>
                <c:pt idx="97">
                  <c:v>99.5</c:v>
                </c:pt>
                <c:pt idx="98">
                  <c:v>100</c:v>
                </c:pt>
                <c:pt idx="99">
                  <c:v>100.5</c:v>
                </c:pt>
                <c:pt idx="100">
                  <c:v>101</c:v>
                </c:pt>
                <c:pt idx="101">
                  <c:v>101.5</c:v>
                </c:pt>
                <c:pt idx="102">
                  <c:v>102</c:v>
                </c:pt>
                <c:pt idx="103">
                  <c:v>102.5</c:v>
                </c:pt>
                <c:pt idx="104">
                  <c:v>103</c:v>
                </c:pt>
                <c:pt idx="105">
                  <c:v>103.5</c:v>
                </c:pt>
                <c:pt idx="106">
                  <c:v>104</c:v>
                </c:pt>
                <c:pt idx="107">
                  <c:v>104.5</c:v>
                </c:pt>
                <c:pt idx="108">
                  <c:v>105</c:v>
                </c:pt>
                <c:pt idx="109">
                  <c:v>105.5</c:v>
                </c:pt>
                <c:pt idx="110">
                  <c:v>106</c:v>
                </c:pt>
                <c:pt idx="111">
                  <c:v>106.5</c:v>
                </c:pt>
                <c:pt idx="112">
                  <c:v>107</c:v>
                </c:pt>
                <c:pt idx="113">
                  <c:v>107.5</c:v>
                </c:pt>
                <c:pt idx="114">
                  <c:v>108</c:v>
                </c:pt>
                <c:pt idx="115">
                  <c:v>108.5</c:v>
                </c:pt>
                <c:pt idx="116">
                  <c:v>109</c:v>
                </c:pt>
                <c:pt idx="117">
                  <c:v>109.5</c:v>
                </c:pt>
                <c:pt idx="118">
                  <c:v>110</c:v>
                </c:pt>
                <c:pt idx="119">
                  <c:v>110.5</c:v>
                </c:pt>
                <c:pt idx="120">
                  <c:v>111</c:v>
                </c:pt>
                <c:pt idx="121">
                  <c:v>111.5</c:v>
                </c:pt>
                <c:pt idx="122">
                  <c:v>112</c:v>
                </c:pt>
                <c:pt idx="123">
                  <c:v>112.5</c:v>
                </c:pt>
                <c:pt idx="124">
                  <c:v>113</c:v>
                </c:pt>
                <c:pt idx="125">
                  <c:v>113.5</c:v>
                </c:pt>
                <c:pt idx="126">
                  <c:v>114</c:v>
                </c:pt>
                <c:pt idx="127">
                  <c:v>114.5</c:v>
                </c:pt>
                <c:pt idx="128">
                  <c:v>115</c:v>
                </c:pt>
                <c:pt idx="129">
                  <c:v>115.5</c:v>
                </c:pt>
                <c:pt idx="130">
                  <c:v>116</c:v>
                </c:pt>
                <c:pt idx="131">
                  <c:v>116.5</c:v>
                </c:pt>
                <c:pt idx="132">
                  <c:v>117</c:v>
                </c:pt>
                <c:pt idx="133">
                  <c:v>117.5</c:v>
                </c:pt>
                <c:pt idx="134">
                  <c:v>118</c:v>
                </c:pt>
                <c:pt idx="135">
                  <c:v>118.5</c:v>
                </c:pt>
                <c:pt idx="136">
                  <c:v>119</c:v>
                </c:pt>
                <c:pt idx="137">
                  <c:v>119.5</c:v>
                </c:pt>
                <c:pt idx="138">
                  <c:v>120</c:v>
                </c:pt>
                <c:pt idx="139">
                  <c:v>120.5</c:v>
                </c:pt>
                <c:pt idx="140">
                  <c:v>121</c:v>
                </c:pt>
                <c:pt idx="141">
                  <c:v>121.5</c:v>
                </c:pt>
                <c:pt idx="142">
                  <c:v>122</c:v>
                </c:pt>
                <c:pt idx="143">
                  <c:v>122.5</c:v>
                </c:pt>
                <c:pt idx="144">
                  <c:v>123</c:v>
                </c:pt>
                <c:pt idx="145">
                  <c:v>123.5</c:v>
                </c:pt>
                <c:pt idx="146">
                  <c:v>124</c:v>
                </c:pt>
                <c:pt idx="147">
                  <c:v>124.5</c:v>
                </c:pt>
                <c:pt idx="148">
                  <c:v>125</c:v>
                </c:pt>
                <c:pt idx="149">
                  <c:v>125.5</c:v>
                </c:pt>
                <c:pt idx="150">
                  <c:v>126</c:v>
                </c:pt>
                <c:pt idx="151">
                  <c:v>126.5</c:v>
                </c:pt>
                <c:pt idx="152">
                  <c:v>127</c:v>
                </c:pt>
                <c:pt idx="153">
                  <c:v>127.5</c:v>
                </c:pt>
                <c:pt idx="154">
                  <c:v>128</c:v>
                </c:pt>
                <c:pt idx="155">
                  <c:v>128.5</c:v>
                </c:pt>
                <c:pt idx="156">
                  <c:v>129</c:v>
                </c:pt>
                <c:pt idx="157">
                  <c:v>129.5</c:v>
                </c:pt>
                <c:pt idx="158">
                  <c:v>130</c:v>
                </c:pt>
                <c:pt idx="159">
                  <c:v>130.5</c:v>
                </c:pt>
                <c:pt idx="160">
                  <c:v>131</c:v>
                </c:pt>
                <c:pt idx="161">
                  <c:v>131.5</c:v>
                </c:pt>
                <c:pt idx="162">
                  <c:v>132</c:v>
                </c:pt>
                <c:pt idx="163">
                  <c:v>132.5</c:v>
                </c:pt>
                <c:pt idx="164">
                  <c:v>133</c:v>
                </c:pt>
                <c:pt idx="165">
                  <c:v>133.5</c:v>
                </c:pt>
                <c:pt idx="166">
                  <c:v>134</c:v>
                </c:pt>
                <c:pt idx="167">
                  <c:v>134.5</c:v>
                </c:pt>
                <c:pt idx="168">
                  <c:v>135</c:v>
                </c:pt>
                <c:pt idx="169">
                  <c:v>135.5</c:v>
                </c:pt>
                <c:pt idx="170">
                  <c:v>136</c:v>
                </c:pt>
                <c:pt idx="171">
                  <c:v>136.5</c:v>
                </c:pt>
                <c:pt idx="172">
                  <c:v>137</c:v>
                </c:pt>
                <c:pt idx="173">
                  <c:v>137.5</c:v>
                </c:pt>
                <c:pt idx="174">
                  <c:v>138</c:v>
                </c:pt>
                <c:pt idx="175">
                  <c:v>138.5</c:v>
                </c:pt>
                <c:pt idx="176">
                  <c:v>139</c:v>
                </c:pt>
                <c:pt idx="177">
                  <c:v>139.5</c:v>
                </c:pt>
                <c:pt idx="178">
                  <c:v>140</c:v>
                </c:pt>
                <c:pt idx="179">
                  <c:v>140.5</c:v>
                </c:pt>
                <c:pt idx="180">
                  <c:v>141</c:v>
                </c:pt>
                <c:pt idx="181">
                  <c:v>141.5</c:v>
                </c:pt>
                <c:pt idx="182">
                  <c:v>142</c:v>
                </c:pt>
                <c:pt idx="183">
                  <c:v>142.5</c:v>
                </c:pt>
                <c:pt idx="184">
                  <c:v>143</c:v>
                </c:pt>
                <c:pt idx="185">
                  <c:v>143.5</c:v>
                </c:pt>
                <c:pt idx="186">
                  <c:v>144</c:v>
                </c:pt>
                <c:pt idx="187">
                  <c:v>144.5</c:v>
                </c:pt>
                <c:pt idx="188">
                  <c:v>145</c:v>
                </c:pt>
                <c:pt idx="189">
                  <c:v>145.5</c:v>
                </c:pt>
                <c:pt idx="190">
                  <c:v>146</c:v>
                </c:pt>
                <c:pt idx="191">
                  <c:v>146.5</c:v>
                </c:pt>
                <c:pt idx="192">
                  <c:v>147</c:v>
                </c:pt>
                <c:pt idx="193">
                  <c:v>147.5</c:v>
                </c:pt>
                <c:pt idx="194">
                  <c:v>148</c:v>
                </c:pt>
                <c:pt idx="195">
                  <c:v>148.5</c:v>
                </c:pt>
                <c:pt idx="196">
                  <c:v>149</c:v>
                </c:pt>
                <c:pt idx="197">
                  <c:v>149.5</c:v>
                </c:pt>
                <c:pt idx="198">
                  <c:v>150</c:v>
                </c:pt>
                <c:pt idx="199">
                  <c:v>150.5</c:v>
                </c:pt>
                <c:pt idx="200">
                  <c:v>151</c:v>
                </c:pt>
                <c:pt idx="201">
                  <c:v>151.5</c:v>
                </c:pt>
                <c:pt idx="202">
                  <c:v>152</c:v>
                </c:pt>
                <c:pt idx="203">
                  <c:v>152.5</c:v>
                </c:pt>
                <c:pt idx="204">
                  <c:v>153</c:v>
                </c:pt>
                <c:pt idx="205">
                  <c:v>153.5</c:v>
                </c:pt>
                <c:pt idx="206">
                  <c:v>154</c:v>
                </c:pt>
                <c:pt idx="207">
                  <c:v>154.5</c:v>
                </c:pt>
                <c:pt idx="208">
                  <c:v>155</c:v>
                </c:pt>
                <c:pt idx="209">
                  <c:v>155.5</c:v>
                </c:pt>
                <c:pt idx="210">
                  <c:v>156</c:v>
                </c:pt>
                <c:pt idx="211">
                  <c:v>156.5</c:v>
                </c:pt>
                <c:pt idx="212">
                  <c:v>157</c:v>
                </c:pt>
                <c:pt idx="213">
                  <c:v>157.5</c:v>
                </c:pt>
                <c:pt idx="214">
                  <c:v>158</c:v>
                </c:pt>
                <c:pt idx="215">
                  <c:v>158.5</c:v>
                </c:pt>
                <c:pt idx="216">
                  <c:v>159</c:v>
                </c:pt>
                <c:pt idx="217">
                  <c:v>159.5</c:v>
                </c:pt>
                <c:pt idx="218">
                  <c:v>160</c:v>
                </c:pt>
                <c:pt idx="219">
                  <c:v>160.5</c:v>
                </c:pt>
                <c:pt idx="220">
                  <c:v>161</c:v>
                </c:pt>
                <c:pt idx="221">
                  <c:v>161.5</c:v>
                </c:pt>
                <c:pt idx="222">
                  <c:v>162</c:v>
                </c:pt>
                <c:pt idx="223">
                  <c:v>162.5</c:v>
                </c:pt>
                <c:pt idx="224">
                  <c:v>163</c:v>
                </c:pt>
                <c:pt idx="225">
                  <c:v>163.5</c:v>
                </c:pt>
                <c:pt idx="226">
                  <c:v>164</c:v>
                </c:pt>
                <c:pt idx="227">
                  <c:v>164.5</c:v>
                </c:pt>
                <c:pt idx="228">
                  <c:v>165</c:v>
                </c:pt>
                <c:pt idx="229">
                  <c:v>165.5</c:v>
                </c:pt>
                <c:pt idx="230">
                  <c:v>166</c:v>
                </c:pt>
                <c:pt idx="231">
                  <c:v>166.5</c:v>
                </c:pt>
                <c:pt idx="232">
                  <c:v>167</c:v>
                </c:pt>
                <c:pt idx="233">
                  <c:v>167.5</c:v>
                </c:pt>
                <c:pt idx="234">
                  <c:v>168</c:v>
                </c:pt>
                <c:pt idx="235">
                  <c:v>168.5</c:v>
                </c:pt>
                <c:pt idx="236">
                  <c:v>169</c:v>
                </c:pt>
                <c:pt idx="237">
                  <c:v>169.5</c:v>
                </c:pt>
                <c:pt idx="238">
                  <c:v>170</c:v>
                </c:pt>
                <c:pt idx="239">
                  <c:v>170.5</c:v>
                </c:pt>
                <c:pt idx="240">
                  <c:v>171</c:v>
                </c:pt>
                <c:pt idx="241">
                  <c:v>171.5</c:v>
                </c:pt>
                <c:pt idx="242">
                  <c:v>172</c:v>
                </c:pt>
                <c:pt idx="243">
                  <c:v>172.5</c:v>
                </c:pt>
                <c:pt idx="244">
                  <c:v>173</c:v>
                </c:pt>
                <c:pt idx="245">
                  <c:v>173.5</c:v>
                </c:pt>
                <c:pt idx="246">
                  <c:v>174</c:v>
                </c:pt>
                <c:pt idx="247">
                  <c:v>174.5</c:v>
                </c:pt>
                <c:pt idx="248">
                  <c:v>175</c:v>
                </c:pt>
                <c:pt idx="249">
                  <c:v>175.5</c:v>
                </c:pt>
                <c:pt idx="250">
                  <c:v>176</c:v>
                </c:pt>
                <c:pt idx="251">
                  <c:v>176.5</c:v>
                </c:pt>
                <c:pt idx="252">
                  <c:v>177</c:v>
                </c:pt>
                <c:pt idx="253">
                  <c:v>177.5</c:v>
                </c:pt>
                <c:pt idx="254">
                  <c:v>178</c:v>
                </c:pt>
                <c:pt idx="255">
                  <c:v>178.5</c:v>
                </c:pt>
                <c:pt idx="256">
                  <c:v>179</c:v>
                </c:pt>
                <c:pt idx="257">
                  <c:v>179.5</c:v>
                </c:pt>
                <c:pt idx="258">
                  <c:v>180</c:v>
                </c:pt>
                <c:pt idx="259">
                  <c:v>180.5</c:v>
                </c:pt>
                <c:pt idx="260">
                  <c:v>181</c:v>
                </c:pt>
                <c:pt idx="261">
                  <c:v>181.5</c:v>
                </c:pt>
                <c:pt idx="262">
                  <c:v>182</c:v>
                </c:pt>
                <c:pt idx="263">
                  <c:v>182.5</c:v>
                </c:pt>
                <c:pt idx="264">
                  <c:v>183</c:v>
                </c:pt>
                <c:pt idx="265">
                  <c:v>183.5</c:v>
                </c:pt>
                <c:pt idx="266">
                  <c:v>184</c:v>
                </c:pt>
                <c:pt idx="267">
                  <c:v>184.5</c:v>
                </c:pt>
                <c:pt idx="268">
                  <c:v>185</c:v>
                </c:pt>
                <c:pt idx="269">
                  <c:v>185.5</c:v>
                </c:pt>
                <c:pt idx="270">
                  <c:v>186</c:v>
                </c:pt>
                <c:pt idx="271">
                  <c:v>186.5</c:v>
                </c:pt>
                <c:pt idx="272">
                  <c:v>187</c:v>
                </c:pt>
                <c:pt idx="273">
                  <c:v>187.5</c:v>
                </c:pt>
                <c:pt idx="274">
                  <c:v>188</c:v>
                </c:pt>
                <c:pt idx="275">
                  <c:v>188.5</c:v>
                </c:pt>
                <c:pt idx="276">
                  <c:v>189</c:v>
                </c:pt>
                <c:pt idx="277">
                  <c:v>189.5</c:v>
                </c:pt>
                <c:pt idx="278">
                  <c:v>190</c:v>
                </c:pt>
                <c:pt idx="279">
                  <c:v>190.5</c:v>
                </c:pt>
                <c:pt idx="280">
                  <c:v>191</c:v>
                </c:pt>
                <c:pt idx="281">
                  <c:v>191.5</c:v>
                </c:pt>
                <c:pt idx="282">
                  <c:v>192</c:v>
                </c:pt>
                <c:pt idx="283">
                  <c:v>192.5</c:v>
                </c:pt>
                <c:pt idx="284">
                  <c:v>193</c:v>
                </c:pt>
                <c:pt idx="285">
                  <c:v>193.5</c:v>
                </c:pt>
                <c:pt idx="286">
                  <c:v>194</c:v>
                </c:pt>
                <c:pt idx="287">
                  <c:v>194.5</c:v>
                </c:pt>
                <c:pt idx="288">
                  <c:v>195</c:v>
                </c:pt>
                <c:pt idx="289">
                  <c:v>195.5</c:v>
                </c:pt>
                <c:pt idx="290">
                  <c:v>196</c:v>
                </c:pt>
                <c:pt idx="291">
                  <c:v>196.5</c:v>
                </c:pt>
                <c:pt idx="292">
                  <c:v>197</c:v>
                </c:pt>
                <c:pt idx="293">
                  <c:v>197.5</c:v>
                </c:pt>
                <c:pt idx="294">
                  <c:v>198</c:v>
                </c:pt>
                <c:pt idx="295">
                  <c:v>198.5</c:v>
                </c:pt>
                <c:pt idx="296">
                  <c:v>199</c:v>
                </c:pt>
                <c:pt idx="297">
                  <c:v>199.5</c:v>
                </c:pt>
                <c:pt idx="298">
                  <c:v>200</c:v>
                </c:pt>
                <c:pt idx="299">
                  <c:v>200.5</c:v>
                </c:pt>
                <c:pt idx="300">
                  <c:v>201</c:v>
                </c:pt>
                <c:pt idx="301">
                  <c:v>201.5</c:v>
                </c:pt>
                <c:pt idx="302">
                  <c:v>202</c:v>
                </c:pt>
                <c:pt idx="303">
                  <c:v>202.5</c:v>
                </c:pt>
                <c:pt idx="304">
                  <c:v>203</c:v>
                </c:pt>
                <c:pt idx="305">
                  <c:v>203.5</c:v>
                </c:pt>
                <c:pt idx="306">
                  <c:v>204</c:v>
                </c:pt>
                <c:pt idx="307">
                  <c:v>204.5</c:v>
                </c:pt>
                <c:pt idx="308">
                  <c:v>205</c:v>
                </c:pt>
                <c:pt idx="309">
                  <c:v>205.5</c:v>
                </c:pt>
                <c:pt idx="310">
                  <c:v>206</c:v>
                </c:pt>
                <c:pt idx="311">
                  <c:v>206.5</c:v>
                </c:pt>
                <c:pt idx="312">
                  <c:v>207</c:v>
                </c:pt>
                <c:pt idx="313">
                  <c:v>207.5</c:v>
                </c:pt>
                <c:pt idx="314">
                  <c:v>208</c:v>
                </c:pt>
                <c:pt idx="315">
                  <c:v>208.5</c:v>
                </c:pt>
                <c:pt idx="316">
                  <c:v>209</c:v>
                </c:pt>
                <c:pt idx="317">
                  <c:v>209.5</c:v>
                </c:pt>
                <c:pt idx="318">
                  <c:v>210</c:v>
                </c:pt>
                <c:pt idx="319">
                  <c:v>210.5</c:v>
                </c:pt>
                <c:pt idx="320">
                  <c:v>211</c:v>
                </c:pt>
                <c:pt idx="321">
                  <c:v>211.5</c:v>
                </c:pt>
                <c:pt idx="322">
                  <c:v>212</c:v>
                </c:pt>
                <c:pt idx="323">
                  <c:v>212.5</c:v>
                </c:pt>
                <c:pt idx="324">
                  <c:v>213</c:v>
                </c:pt>
                <c:pt idx="325">
                  <c:v>213.5</c:v>
                </c:pt>
                <c:pt idx="326">
                  <c:v>214</c:v>
                </c:pt>
                <c:pt idx="327">
                  <c:v>214.5</c:v>
                </c:pt>
                <c:pt idx="328">
                  <c:v>215</c:v>
                </c:pt>
                <c:pt idx="329">
                  <c:v>215.5</c:v>
                </c:pt>
                <c:pt idx="330">
                  <c:v>216</c:v>
                </c:pt>
                <c:pt idx="331">
                  <c:v>216.5</c:v>
                </c:pt>
                <c:pt idx="332">
                  <c:v>217</c:v>
                </c:pt>
                <c:pt idx="333">
                  <c:v>217.5</c:v>
                </c:pt>
                <c:pt idx="334">
                  <c:v>218</c:v>
                </c:pt>
                <c:pt idx="335">
                  <c:v>218.5</c:v>
                </c:pt>
                <c:pt idx="336">
                  <c:v>219</c:v>
                </c:pt>
                <c:pt idx="337">
                  <c:v>219.5</c:v>
                </c:pt>
                <c:pt idx="338">
                  <c:v>220</c:v>
                </c:pt>
                <c:pt idx="339">
                  <c:v>220.5</c:v>
                </c:pt>
                <c:pt idx="340">
                  <c:v>221</c:v>
                </c:pt>
                <c:pt idx="341">
                  <c:v>221.5</c:v>
                </c:pt>
                <c:pt idx="342">
                  <c:v>222</c:v>
                </c:pt>
                <c:pt idx="343">
                  <c:v>222.5</c:v>
                </c:pt>
                <c:pt idx="344">
                  <c:v>223</c:v>
                </c:pt>
                <c:pt idx="345">
                  <c:v>223.5</c:v>
                </c:pt>
                <c:pt idx="346">
                  <c:v>224</c:v>
                </c:pt>
                <c:pt idx="347">
                  <c:v>224.5</c:v>
                </c:pt>
                <c:pt idx="348">
                  <c:v>225</c:v>
                </c:pt>
                <c:pt idx="349">
                  <c:v>225.5</c:v>
                </c:pt>
                <c:pt idx="350">
                  <c:v>226</c:v>
                </c:pt>
                <c:pt idx="351">
                  <c:v>226.5</c:v>
                </c:pt>
                <c:pt idx="352">
                  <c:v>227</c:v>
                </c:pt>
                <c:pt idx="353">
                  <c:v>227.5</c:v>
                </c:pt>
                <c:pt idx="354">
                  <c:v>228</c:v>
                </c:pt>
                <c:pt idx="355">
                  <c:v>228.5</c:v>
                </c:pt>
                <c:pt idx="356">
                  <c:v>229</c:v>
                </c:pt>
                <c:pt idx="357">
                  <c:v>229.5</c:v>
                </c:pt>
                <c:pt idx="358">
                  <c:v>230</c:v>
                </c:pt>
                <c:pt idx="359">
                  <c:v>230.5</c:v>
                </c:pt>
                <c:pt idx="360">
                  <c:v>231</c:v>
                </c:pt>
                <c:pt idx="361">
                  <c:v>231.5</c:v>
                </c:pt>
                <c:pt idx="362">
                  <c:v>232</c:v>
                </c:pt>
                <c:pt idx="363">
                  <c:v>232.5</c:v>
                </c:pt>
                <c:pt idx="364">
                  <c:v>233</c:v>
                </c:pt>
                <c:pt idx="365">
                  <c:v>233.5</c:v>
                </c:pt>
                <c:pt idx="366">
                  <c:v>234</c:v>
                </c:pt>
                <c:pt idx="367">
                  <c:v>234.5</c:v>
                </c:pt>
                <c:pt idx="368">
                  <c:v>235</c:v>
                </c:pt>
                <c:pt idx="369">
                  <c:v>235.5</c:v>
                </c:pt>
                <c:pt idx="370">
                  <c:v>236</c:v>
                </c:pt>
                <c:pt idx="371">
                  <c:v>236.5</c:v>
                </c:pt>
                <c:pt idx="372">
                  <c:v>237</c:v>
                </c:pt>
                <c:pt idx="373">
                  <c:v>237.5</c:v>
                </c:pt>
                <c:pt idx="374">
                  <c:v>238</c:v>
                </c:pt>
                <c:pt idx="375">
                  <c:v>238.5</c:v>
                </c:pt>
                <c:pt idx="376">
                  <c:v>239</c:v>
                </c:pt>
                <c:pt idx="377">
                  <c:v>239.5</c:v>
                </c:pt>
                <c:pt idx="378">
                  <c:v>240</c:v>
                </c:pt>
                <c:pt idx="379">
                  <c:v>240.5</c:v>
                </c:pt>
                <c:pt idx="380">
                  <c:v>241</c:v>
                </c:pt>
                <c:pt idx="381">
                  <c:v>241.5</c:v>
                </c:pt>
                <c:pt idx="382">
                  <c:v>242</c:v>
                </c:pt>
                <c:pt idx="383">
                  <c:v>242.5</c:v>
                </c:pt>
                <c:pt idx="384">
                  <c:v>243</c:v>
                </c:pt>
                <c:pt idx="385">
                  <c:v>243.5</c:v>
                </c:pt>
                <c:pt idx="386">
                  <c:v>244</c:v>
                </c:pt>
                <c:pt idx="387">
                  <c:v>244.5</c:v>
                </c:pt>
                <c:pt idx="388">
                  <c:v>245</c:v>
                </c:pt>
                <c:pt idx="389">
                  <c:v>245.5</c:v>
                </c:pt>
                <c:pt idx="390">
                  <c:v>246</c:v>
                </c:pt>
                <c:pt idx="391">
                  <c:v>246.5</c:v>
                </c:pt>
                <c:pt idx="392">
                  <c:v>247</c:v>
                </c:pt>
                <c:pt idx="393">
                  <c:v>247.5</c:v>
                </c:pt>
                <c:pt idx="394">
                  <c:v>248</c:v>
                </c:pt>
                <c:pt idx="395">
                  <c:v>248.5</c:v>
                </c:pt>
                <c:pt idx="396">
                  <c:v>249</c:v>
                </c:pt>
                <c:pt idx="397">
                  <c:v>249.5</c:v>
                </c:pt>
                <c:pt idx="398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E6-48E2-AFAE-84D5DF3CDC5C}"/>
            </c:ext>
          </c:extLst>
        </c:ser>
        <c:ser>
          <c:idx val="2"/>
          <c:order val="2"/>
          <c:tx>
            <c:strRef>
              <c:f>'n=1'!$E$1</c:f>
              <c:strCache>
                <c:ptCount val="1"/>
                <c:pt idx="0">
                  <c:v>V Upper arm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'n=1'!$E$2:$E$400</c:f>
              <c:numCache>
                <c:formatCode>General</c:formatCode>
                <c:ptCount val="399"/>
                <c:pt idx="0">
                  <c:v>459</c:v>
                </c:pt>
                <c:pt idx="1">
                  <c:v>458.5</c:v>
                </c:pt>
                <c:pt idx="2">
                  <c:v>458</c:v>
                </c:pt>
                <c:pt idx="3">
                  <c:v>457.5</c:v>
                </c:pt>
                <c:pt idx="4">
                  <c:v>457</c:v>
                </c:pt>
                <c:pt idx="5">
                  <c:v>456.5</c:v>
                </c:pt>
                <c:pt idx="6">
                  <c:v>456</c:v>
                </c:pt>
                <c:pt idx="7">
                  <c:v>455.5</c:v>
                </c:pt>
                <c:pt idx="8">
                  <c:v>455</c:v>
                </c:pt>
                <c:pt idx="9">
                  <c:v>454.5</c:v>
                </c:pt>
                <c:pt idx="10">
                  <c:v>454</c:v>
                </c:pt>
                <c:pt idx="11">
                  <c:v>453.5</c:v>
                </c:pt>
                <c:pt idx="12">
                  <c:v>453</c:v>
                </c:pt>
                <c:pt idx="13">
                  <c:v>452.5</c:v>
                </c:pt>
                <c:pt idx="14">
                  <c:v>452</c:v>
                </c:pt>
                <c:pt idx="15">
                  <c:v>451.5</c:v>
                </c:pt>
                <c:pt idx="16">
                  <c:v>451</c:v>
                </c:pt>
                <c:pt idx="17">
                  <c:v>450.5</c:v>
                </c:pt>
                <c:pt idx="18">
                  <c:v>450</c:v>
                </c:pt>
                <c:pt idx="19">
                  <c:v>449.5</c:v>
                </c:pt>
                <c:pt idx="20">
                  <c:v>449</c:v>
                </c:pt>
                <c:pt idx="21">
                  <c:v>448.5</c:v>
                </c:pt>
                <c:pt idx="22">
                  <c:v>448</c:v>
                </c:pt>
                <c:pt idx="23">
                  <c:v>447.5</c:v>
                </c:pt>
                <c:pt idx="24">
                  <c:v>447</c:v>
                </c:pt>
                <c:pt idx="25">
                  <c:v>446.5</c:v>
                </c:pt>
                <c:pt idx="26">
                  <c:v>446</c:v>
                </c:pt>
                <c:pt idx="27">
                  <c:v>445.5</c:v>
                </c:pt>
                <c:pt idx="28">
                  <c:v>445</c:v>
                </c:pt>
                <c:pt idx="29">
                  <c:v>444.5</c:v>
                </c:pt>
                <c:pt idx="30">
                  <c:v>444</c:v>
                </c:pt>
                <c:pt idx="31">
                  <c:v>443.5</c:v>
                </c:pt>
                <c:pt idx="32">
                  <c:v>443</c:v>
                </c:pt>
                <c:pt idx="33">
                  <c:v>442.5</c:v>
                </c:pt>
                <c:pt idx="34">
                  <c:v>442</c:v>
                </c:pt>
                <c:pt idx="35">
                  <c:v>441.5</c:v>
                </c:pt>
                <c:pt idx="36">
                  <c:v>441</c:v>
                </c:pt>
                <c:pt idx="37">
                  <c:v>440.5</c:v>
                </c:pt>
                <c:pt idx="38">
                  <c:v>440</c:v>
                </c:pt>
                <c:pt idx="39">
                  <c:v>439.5</c:v>
                </c:pt>
                <c:pt idx="40">
                  <c:v>439</c:v>
                </c:pt>
                <c:pt idx="41">
                  <c:v>438.5</c:v>
                </c:pt>
                <c:pt idx="42">
                  <c:v>438</c:v>
                </c:pt>
                <c:pt idx="43">
                  <c:v>437.5</c:v>
                </c:pt>
                <c:pt idx="44">
                  <c:v>437</c:v>
                </c:pt>
                <c:pt idx="45">
                  <c:v>436.5</c:v>
                </c:pt>
                <c:pt idx="46">
                  <c:v>436</c:v>
                </c:pt>
                <c:pt idx="47">
                  <c:v>435.5</c:v>
                </c:pt>
                <c:pt idx="48">
                  <c:v>435</c:v>
                </c:pt>
                <c:pt idx="49">
                  <c:v>434.5</c:v>
                </c:pt>
                <c:pt idx="50">
                  <c:v>434</c:v>
                </c:pt>
                <c:pt idx="51">
                  <c:v>433.5</c:v>
                </c:pt>
                <c:pt idx="52">
                  <c:v>433</c:v>
                </c:pt>
                <c:pt idx="53">
                  <c:v>432.5</c:v>
                </c:pt>
                <c:pt idx="54">
                  <c:v>432</c:v>
                </c:pt>
                <c:pt idx="55">
                  <c:v>431.5</c:v>
                </c:pt>
                <c:pt idx="56">
                  <c:v>431</c:v>
                </c:pt>
                <c:pt idx="57">
                  <c:v>430.5</c:v>
                </c:pt>
                <c:pt idx="58">
                  <c:v>430</c:v>
                </c:pt>
                <c:pt idx="59">
                  <c:v>429.5</c:v>
                </c:pt>
                <c:pt idx="60">
                  <c:v>429</c:v>
                </c:pt>
                <c:pt idx="61">
                  <c:v>428.5</c:v>
                </c:pt>
                <c:pt idx="62">
                  <c:v>428</c:v>
                </c:pt>
                <c:pt idx="63">
                  <c:v>427.5</c:v>
                </c:pt>
                <c:pt idx="64">
                  <c:v>427</c:v>
                </c:pt>
                <c:pt idx="65">
                  <c:v>426.5</c:v>
                </c:pt>
                <c:pt idx="66">
                  <c:v>426</c:v>
                </c:pt>
                <c:pt idx="67">
                  <c:v>425.5</c:v>
                </c:pt>
                <c:pt idx="68">
                  <c:v>425</c:v>
                </c:pt>
                <c:pt idx="69">
                  <c:v>424.5</c:v>
                </c:pt>
                <c:pt idx="70">
                  <c:v>424</c:v>
                </c:pt>
                <c:pt idx="71">
                  <c:v>423.5</c:v>
                </c:pt>
                <c:pt idx="72">
                  <c:v>423</c:v>
                </c:pt>
                <c:pt idx="73">
                  <c:v>422.5</c:v>
                </c:pt>
                <c:pt idx="74">
                  <c:v>422</c:v>
                </c:pt>
                <c:pt idx="75">
                  <c:v>421.5</c:v>
                </c:pt>
                <c:pt idx="76">
                  <c:v>421</c:v>
                </c:pt>
                <c:pt idx="77">
                  <c:v>420.5</c:v>
                </c:pt>
                <c:pt idx="78">
                  <c:v>420</c:v>
                </c:pt>
                <c:pt idx="79">
                  <c:v>419.5</c:v>
                </c:pt>
                <c:pt idx="80">
                  <c:v>419</c:v>
                </c:pt>
                <c:pt idx="81">
                  <c:v>418.5</c:v>
                </c:pt>
                <c:pt idx="82">
                  <c:v>418</c:v>
                </c:pt>
                <c:pt idx="83">
                  <c:v>417.5</c:v>
                </c:pt>
                <c:pt idx="84">
                  <c:v>417</c:v>
                </c:pt>
                <c:pt idx="85">
                  <c:v>416.5</c:v>
                </c:pt>
                <c:pt idx="86">
                  <c:v>416</c:v>
                </c:pt>
                <c:pt idx="87">
                  <c:v>415.5</c:v>
                </c:pt>
                <c:pt idx="88">
                  <c:v>415</c:v>
                </c:pt>
                <c:pt idx="89">
                  <c:v>414.5</c:v>
                </c:pt>
                <c:pt idx="90">
                  <c:v>414</c:v>
                </c:pt>
                <c:pt idx="91">
                  <c:v>413.5</c:v>
                </c:pt>
                <c:pt idx="92">
                  <c:v>413</c:v>
                </c:pt>
                <c:pt idx="93">
                  <c:v>412.5</c:v>
                </c:pt>
                <c:pt idx="94">
                  <c:v>412</c:v>
                </c:pt>
                <c:pt idx="95">
                  <c:v>411.5</c:v>
                </c:pt>
                <c:pt idx="96">
                  <c:v>411</c:v>
                </c:pt>
                <c:pt idx="97">
                  <c:v>410.5</c:v>
                </c:pt>
                <c:pt idx="98">
                  <c:v>410</c:v>
                </c:pt>
                <c:pt idx="99">
                  <c:v>409.5</c:v>
                </c:pt>
                <c:pt idx="100">
                  <c:v>409</c:v>
                </c:pt>
                <c:pt idx="101">
                  <c:v>408.5</c:v>
                </c:pt>
                <c:pt idx="102">
                  <c:v>408</c:v>
                </c:pt>
                <c:pt idx="103">
                  <c:v>407.5</c:v>
                </c:pt>
                <c:pt idx="104">
                  <c:v>407</c:v>
                </c:pt>
                <c:pt idx="105">
                  <c:v>406.5</c:v>
                </c:pt>
                <c:pt idx="106">
                  <c:v>406</c:v>
                </c:pt>
                <c:pt idx="107">
                  <c:v>405.5</c:v>
                </c:pt>
                <c:pt idx="108">
                  <c:v>405</c:v>
                </c:pt>
                <c:pt idx="109">
                  <c:v>404.5</c:v>
                </c:pt>
                <c:pt idx="110">
                  <c:v>404</c:v>
                </c:pt>
                <c:pt idx="111">
                  <c:v>403.5</c:v>
                </c:pt>
                <c:pt idx="112">
                  <c:v>403</c:v>
                </c:pt>
                <c:pt idx="113">
                  <c:v>402.5</c:v>
                </c:pt>
                <c:pt idx="114">
                  <c:v>402</c:v>
                </c:pt>
                <c:pt idx="115">
                  <c:v>401.5</c:v>
                </c:pt>
                <c:pt idx="116">
                  <c:v>401</c:v>
                </c:pt>
                <c:pt idx="117">
                  <c:v>400.5</c:v>
                </c:pt>
                <c:pt idx="118">
                  <c:v>400</c:v>
                </c:pt>
                <c:pt idx="119">
                  <c:v>399.5</c:v>
                </c:pt>
                <c:pt idx="120">
                  <c:v>399</c:v>
                </c:pt>
                <c:pt idx="121">
                  <c:v>398.5</c:v>
                </c:pt>
                <c:pt idx="122">
                  <c:v>398</c:v>
                </c:pt>
                <c:pt idx="123">
                  <c:v>397.5</c:v>
                </c:pt>
                <c:pt idx="124">
                  <c:v>397</c:v>
                </c:pt>
                <c:pt idx="125">
                  <c:v>396.5</c:v>
                </c:pt>
                <c:pt idx="126">
                  <c:v>396</c:v>
                </c:pt>
                <c:pt idx="127">
                  <c:v>395.5</c:v>
                </c:pt>
                <c:pt idx="128">
                  <c:v>395</c:v>
                </c:pt>
                <c:pt idx="129">
                  <c:v>394.5</c:v>
                </c:pt>
                <c:pt idx="130">
                  <c:v>394</c:v>
                </c:pt>
                <c:pt idx="131">
                  <c:v>393.5</c:v>
                </c:pt>
                <c:pt idx="132">
                  <c:v>393</c:v>
                </c:pt>
                <c:pt idx="133">
                  <c:v>392.5</c:v>
                </c:pt>
                <c:pt idx="134">
                  <c:v>392</c:v>
                </c:pt>
                <c:pt idx="135">
                  <c:v>391.5</c:v>
                </c:pt>
                <c:pt idx="136">
                  <c:v>391</c:v>
                </c:pt>
                <c:pt idx="137">
                  <c:v>390.5</c:v>
                </c:pt>
                <c:pt idx="138">
                  <c:v>390</c:v>
                </c:pt>
                <c:pt idx="139">
                  <c:v>389.5</c:v>
                </c:pt>
                <c:pt idx="140">
                  <c:v>389</c:v>
                </c:pt>
                <c:pt idx="141">
                  <c:v>388.5</c:v>
                </c:pt>
                <c:pt idx="142">
                  <c:v>388</c:v>
                </c:pt>
                <c:pt idx="143">
                  <c:v>387.5</c:v>
                </c:pt>
                <c:pt idx="144">
                  <c:v>387</c:v>
                </c:pt>
                <c:pt idx="145">
                  <c:v>386.5</c:v>
                </c:pt>
                <c:pt idx="146">
                  <c:v>386</c:v>
                </c:pt>
                <c:pt idx="147">
                  <c:v>385.5</c:v>
                </c:pt>
                <c:pt idx="148">
                  <c:v>385</c:v>
                </c:pt>
                <c:pt idx="149">
                  <c:v>384.5</c:v>
                </c:pt>
                <c:pt idx="150">
                  <c:v>384</c:v>
                </c:pt>
                <c:pt idx="151">
                  <c:v>383.5</c:v>
                </c:pt>
                <c:pt idx="152">
                  <c:v>383</c:v>
                </c:pt>
                <c:pt idx="153">
                  <c:v>382.5</c:v>
                </c:pt>
                <c:pt idx="154">
                  <c:v>382</c:v>
                </c:pt>
                <c:pt idx="155">
                  <c:v>381.5</c:v>
                </c:pt>
                <c:pt idx="156">
                  <c:v>381</c:v>
                </c:pt>
                <c:pt idx="157">
                  <c:v>380.5</c:v>
                </c:pt>
                <c:pt idx="158">
                  <c:v>380</c:v>
                </c:pt>
                <c:pt idx="159">
                  <c:v>379.5</c:v>
                </c:pt>
                <c:pt idx="160">
                  <c:v>379</c:v>
                </c:pt>
                <c:pt idx="161">
                  <c:v>378.5</c:v>
                </c:pt>
                <c:pt idx="162">
                  <c:v>378</c:v>
                </c:pt>
                <c:pt idx="163">
                  <c:v>377.5</c:v>
                </c:pt>
                <c:pt idx="164">
                  <c:v>377</c:v>
                </c:pt>
                <c:pt idx="165">
                  <c:v>376.5</c:v>
                </c:pt>
                <c:pt idx="166">
                  <c:v>376</c:v>
                </c:pt>
                <c:pt idx="167">
                  <c:v>375.5</c:v>
                </c:pt>
                <c:pt idx="168">
                  <c:v>375</c:v>
                </c:pt>
                <c:pt idx="169">
                  <c:v>374.5</c:v>
                </c:pt>
                <c:pt idx="170">
                  <c:v>374</c:v>
                </c:pt>
                <c:pt idx="171">
                  <c:v>373.5</c:v>
                </c:pt>
                <c:pt idx="172">
                  <c:v>373</c:v>
                </c:pt>
                <c:pt idx="173">
                  <c:v>372.5</c:v>
                </c:pt>
                <c:pt idx="174">
                  <c:v>372</c:v>
                </c:pt>
                <c:pt idx="175">
                  <c:v>371.5</c:v>
                </c:pt>
                <c:pt idx="176">
                  <c:v>371</c:v>
                </c:pt>
                <c:pt idx="177">
                  <c:v>370.5</c:v>
                </c:pt>
                <c:pt idx="178">
                  <c:v>370</c:v>
                </c:pt>
                <c:pt idx="179">
                  <c:v>369.5</c:v>
                </c:pt>
                <c:pt idx="180">
                  <c:v>369</c:v>
                </c:pt>
                <c:pt idx="181">
                  <c:v>368.5</c:v>
                </c:pt>
                <c:pt idx="182">
                  <c:v>368</c:v>
                </c:pt>
                <c:pt idx="183">
                  <c:v>367.5</c:v>
                </c:pt>
                <c:pt idx="184">
                  <c:v>367</c:v>
                </c:pt>
                <c:pt idx="185">
                  <c:v>366.5</c:v>
                </c:pt>
                <c:pt idx="186">
                  <c:v>366</c:v>
                </c:pt>
                <c:pt idx="187">
                  <c:v>365.5</c:v>
                </c:pt>
                <c:pt idx="188">
                  <c:v>365</c:v>
                </c:pt>
                <c:pt idx="189">
                  <c:v>364.5</c:v>
                </c:pt>
                <c:pt idx="190">
                  <c:v>364</c:v>
                </c:pt>
                <c:pt idx="191">
                  <c:v>363.5</c:v>
                </c:pt>
                <c:pt idx="192">
                  <c:v>363</c:v>
                </c:pt>
                <c:pt idx="193">
                  <c:v>362.5</c:v>
                </c:pt>
                <c:pt idx="194">
                  <c:v>362</c:v>
                </c:pt>
                <c:pt idx="195">
                  <c:v>361.5</c:v>
                </c:pt>
                <c:pt idx="196">
                  <c:v>361</c:v>
                </c:pt>
                <c:pt idx="197">
                  <c:v>360.5</c:v>
                </c:pt>
                <c:pt idx="198">
                  <c:v>360</c:v>
                </c:pt>
                <c:pt idx="199">
                  <c:v>359.5</c:v>
                </c:pt>
                <c:pt idx="200">
                  <c:v>359</c:v>
                </c:pt>
                <c:pt idx="201">
                  <c:v>358.5</c:v>
                </c:pt>
                <c:pt idx="202">
                  <c:v>358</c:v>
                </c:pt>
                <c:pt idx="203">
                  <c:v>357.5</c:v>
                </c:pt>
                <c:pt idx="204">
                  <c:v>357</c:v>
                </c:pt>
                <c:pt idx="205">
                  <c:v>356.5</c:v>
                </c:pt>
                <c:pt idx="206">
                  <c:v>356</c:v>
                </c:pt>
                <c:pt idx="207">
                  <c:v>355.5</c:v>
                </c:pt>
                <c:pt idx="208">
                  <c:v>355</c:v>
                </c:pt>
                <c:pt idx="209">
                  <c:v>354.5</c:v>
                </c:pt>
                <c:pt idx="210">
                  <c:v>354</c:v>
                </c:pt>
                <c:pt idx="211">
                  <c:v>353.5</c:v>
                </c:pt>
                <c:pt idx="212">
                  <c:v>353</c:v>
                </c:pt>
                <c:pt idx="213">
                  <c:v>352.5</c:v>
                </c:pt>
                <c:pt idx="214">
                  <c:v>352</c:v>
                </c:pt>
                <c:pt idx="215">
                  <c:v>351.5</c:v>
                </c:pt>
                <c:pt idx="216">
                  <c:v>351</c:v>
                </c:pt>
                <c:pt idx="217">
                  <c:v>350.5</c:v>
                </c:pt>
                <c:pt idx="218">
                  <c:v>350</c:v>
                </c:pt>
                <c:pt idx="219">
                  <c:v>349.5</c:v>
                </c:pt>
                <c:pt idx="220">
                  <c:v>349</c:v>
                </c:pt>
                <c:pt idx="221">
                  <c:v>348.5</c:v>
                </c:pt>
                <c:pt idx="222">
                  <c:v>348</c:v>
                </c:pt>
                <c:pt idx="223">
                  <c:v>347.5</c:v>
                </c:pt>
                <c:pt idx="224">
                  <c:v>347</c:v>
                </c:pt>
                <c:pt idx="225">
                  <c:v>346.5</c:v>
                </c:pt>
                <c:pt idx="226">
                  <c:v>346</c:v>
                </c:pt>
                <c:pt idx="227">
                  <c:v>345.5</c:v>
                </c:pt>
                <c:pt idx="228">
                  <c:v>345</c:v>
                </c:pt>
                <c:pt idx="229">
                  <c:v>344.5</c:v>
                </c:pt>
                <c:pt idx="230">
                  <c:v>344</c:v>
                </c:pt>
                <c:pt idx="231">
                  <c:v>343.5</c:v>
                </c:pt>
                <c:pt idx="232">
                  <c:v>343</c:v>
                </c:pt>
                <c:pt idx="233">
                  <c:v>342.5</c:v>
                </c:pt>
                <c:pt idx="234">
                  <c:v>342</c:v>
                </c:pt>
                <c:pt idx="235">
                  <c:v>341.5</c:v>
                </c:pt>
                <c:pt idx="236">
                  <c:v>341</c:v>
                </c:pt>
                <c:pt idx="237">
                  <c:v>340.5</c:v>
                </c:pt>
                <c:pt idx="238">
                  <c:v>340</c:v>
                </c:pt>
                <c:pt idx="239">
                  <c:v>339.5</c:v>
                </c:pt>
                <c:pt idx="240">
                  <c:v>339</c:v>
                </c:pt>
                <c:pt idx="241">
                  <c:v>338.5</c:v>
                </c:pt>
                <c:pt idx="242">
                  <c:v>338</c:v>
                </c:pt>
                <c:pt idx="243">
                  <c:v>337.5</c:v>
                </c:pt>
                <c:pt idx="244">
                  <c:v>337</c:v>
                </c:pt>
                <c:pt idx="245">
                  <c:v>336.5</c:v>
                </c:pt>
                <c:pt idx="246">
                  <c:v>336</c:v>
                </c:pt>
                <c:pt idx="247">
                  <c:v>335.5</c:v>
                </c:pt>
                <c:pt idx="248">
                  <c:v>335</c:v>
                </c:pt>
                <c:pt idx="249">
                  <c:v>334.5</c:v>
                </c:pt>
                <c:pt idx="250">
                  <c:v>334</c:v>
                </c:pt>
                <c:pt idx="251">
                  <c:v>333.5</c:v>
                </c:pt>
                <c:pt idx="252">
                  <c:v>333</c:v>
                </c:pt>
                <c:pt idx="253">
                  <c:v>332.5</c:v>
                </c:pt>
                <c:pt idx="254">
                  <c:v>332</c:v>
                </c:pt>
                <c:pt idx="255">
                  <c:v>331.5</c:v>
                </c:pt>
                <c:pt idx="256">
                  <c:v>331</c:v>
                </c:pt>
                <c:pt idx="257">
                  <c:v>330.5</c:v>
                </c:pt>
                <c:pt idx="258">
                  <c:v>330</c:v>
                </c:pt>
                <c:pt idx="259">
                  <c:v>329.5</c:v>
                </c:pt>
                <c:pt idx="260">
                  <c:v>329</c:v>
                </c:pt>
                <c:pt idx="261">
                  <c:v>328.5</c:v>
                </c:pt>
                <c:pt idx="262">
                  <c:v>328</c:v>
                </c:pt>
                <c:pt idx="263">
                  <c:v>327.5</c:v>
                </c:pt>
                <c:pt idx="264">
                  <c:v>327</c:v>
                </c:pt>
                <c:pt idx="265">
                  <c:v>326.5</c:v>
                </c:pt>
                <c:pt idx="266">
                  <c:v>326</c:v>
                </c:pt>
                <c:pt idx="267">
                  <c:v>325.5</c:v>
                </c:pt>
                <c:pt idx="268">
                  <c:v>325</c:v>
                </c:pt>
                <c:pt idx="269">
                  <c:v>324.5</c:v>
                </c:pt>
                <c:pt idx="270">
                  <c:v>324</c:v>
                </c:pt>
                <c:pt idx="271">
                  <c:v>323.5</c:v>
                </c:pt>
                <c:pt idx="272">
                  <c:v>323</c:v>
                </c:pt>
                <c:pt idx="273">
                  <c:v>322.5</c:v>
                </c:pt>
                <c:pt idx="274">
                  <c:v>322</c:v>
                </c:pt>
                <c:pt idx="275">
                  <c:v>321.5</c:v>
                </c:pt>
                <c:pt idx="276">
                  <c:v>321</c:v>
                </c:pt>
                <c:pt idx="277">
                  <c:v>320.5</c:v>
                </c:pt>
                <c:pt idx="278">
                  <c:v>320</c:v>
                </c:pt>
                <c:pt idx="279">
                  <c:v>319.5</c:v>
                </c:pt>
                <c:pt idx="280">
                  <c:v>319</c:v>
                </c:pt>
                <c:pt idx="281">
                  <c:v>318.5</c:v>
                </c:pt>
                <c:pt idx="282">
                  <c:v>318</c:v>
                </c:pt>
                <c:pt idx="283">
                  <c:v>317.5</c:v>
                </c:pt>
                <c:pt idx="284">
                  <c:v>317</c:v>
                </c:pt>
                <c:pt idx="285">
                  <c:v>316.5</c:v>
                </c:pt>
                <c:pt idx="286">
                  <c:v>316</c:v>
                </c:pt>
                <c:pt idx="287">
                  <c:v>315.5</c:v>
                </c:pt>
                <c:pt idx="288">
                  <c:v>315</c:v>
                </c:pt>
                <c:pt idx="289">
                  <c:v>314.5</c:v>
                </c:pt>
                <c:pt idx="290">
                  <c:v>314</c:v>
                </c:pt>
                <c:pt idx="291">
                  <c:v>313.5</c:v>
                </c:pt>
                <c:pt idx="292">
                  <c:v>313</c:v>
                </c:pt>
                <c:pt idx="293">
                  <c:v>312.5</c:v>
                </c:pt>
                <c:pt idx="294">
                  <c:v>312</c:v>
                </c:pt>
                <c:pt idx="295">
                  <c:v>311.5</c:v>
                </c:pt>
                <c:pt idx="296">
                  <c:v>311</c:v>
                </c:pt>
                <c:pt idx="297">
                  <c:v>310.5</c:v>
                </c:pt>
                <c:pt idx="298">
                  <c:v>310</c:v>
                </c:pt>
                <c:pt idx="299">
                  <c:v>309.5</c:v>
                </c:pt>
                <c:pt idx="300">
                  <c:v>309</c:v>
                </c:pt>
                <c:pt idx="301">
                  <c:v>308.5</c:v>
                </c:pt>
                <c:pt idx="302">
                  <c:v>308</c:v>
                </c:pt>
                <c:pt idx="303">
                  <c:v>307.5</c:v>
                </c:pt>
                <c:pt idx="304">
                  <c:v>307</c:v>
                </c:pt>
                <c:pt idx="305">
                  <c:v>306.5</c:v>
                </c:pt>
                <c:pt idx="306">
                  <c:v>306</c:v>
                </c:pt>
                <c:pt idx="307">
                  <c:v>305.5</c:v>
                </c:pt>
                <c:pt idx="308">
                  <c:v>305</c:v>
                </c:pt>
                <c:pt idx="309">
                  <c:v>304.5</c:v>
                </c:pt>
                <c:pt idx="310">
                  <c:v>304</c:v>
                </c:pt>
                <c:pt idx="311">
                  <c:v>303.5</c:v>
                </c:pt>
                <c:pt idx="312">
                  <c:v>303</c:v>
                </c:pt>
                <c:pt idx="313">
                  <c:v>302.5</c:v>
                </c:pt>
                <c:pt idx="314">
                  <c:v>302</c:v>
                </c:pt>
                <c:pt idx="315">
                  <c:v>301.5</c:v>
                </c:pt>
                <c:pt idx="316">
                  <c:v>301</c:v>
                </c:pt>
                <c:pt idx="317">
                  <c:v>300.5</c:v>
                </c:pt>
                <c:pt idx="318">
                  <c:v>300</c:v>
                </c:pt>
                <c:pt idx="319">
                  <c:v>299.5</c:v>
                </c:pt>
                <c:pt idx="320">
                  <c:v>299</c:v>
                </c:pt>
                <c:pt idx="321">
                  <c:v>298.5</c:v>
                </c:pt>
                <c:pt idx="322">
                  <c:v>298</c:v>
                </c:pt>
                <c:pt idx="323">
                  <c:v>297.5</c:v>
                </c:pt>
                <c:pt idx="324">
                  <c:v>297</c:v>
                </c:pt>
                <c:pt idx="325">
                  <c:v>296.5</c:v>
                </c:pt>
                <c:pt idx="326">
                  <c:v>296</c:v>
                </c:pt>
                <c:pt idx="327">
                  <c:v>295.5</c:v>
                </c:pt>
                <c:pt idx="328">
                  <c:v>295</c:v>
                </c:pt>
                <c:pt idx="329">
                  <c:v>294.5</c:v>
                </c:pt>
                <c:pt idx="330">
                  <c:v>294</c:v>
                </c:pt>
                <c:pt idx="331">
                  <c:v>293.5</c:v>
                </c:pt>
                <c:pt idx="332">
                  <c:v>293</c:v>
                </c:pt>
                <c:pt idx="333">
                  <c:v>292.5</c:v>
                </c:pt>
                <c:pt idx="334">
                  <c:v>292</c:v>
                </c:pt>
                <c:pt idx="335">
                  <c:v>291.5</c:v>
                </c:pt>
                <c:pt idx="336">
                  <c:v>291</c:v>
                </c:pt>
                <c:pt idx="337">
                  <c:v>290.5</c:v>
                </c:pt>
                <c:pt idx="338">
                  <c:v>290</c:v>
                </c:pt>
                <c:pt idx="339">
                  <c:v>289.5</c:v>
                </c:pt>
                <c:pt idx="340">
                  <c:v>289</c:v>
                </c:pt>
                <c:pt idx="341">
                  <c:v>288.5</c:v>
                </c:pt>
                <c:pt idx="342">
                  <c:v>288</c:v>
                </c:pt>
                <c:pt idx="343">
                  <c:v>287.5</c:v>
                </c:pt>
                <c:pt idx="344">
                  <c:v>287</c:v>
                </c:pt>
                <c:pt idx="345">
                  <c:v>286.5</c:v>
                </c:pt>
                <c:pt idx="346">
                  <c:v>286</c:v>
                </c:pt>
                <c:pt idx="347">
                  <c:v>285.5</c:v>
                </c:pt>
                <c:pt idx="348">
                  <c:v>285</c:v>
                </c:pt>
                <c:pt idx="349">
                  <c:v>284.5</c:v>
                </c:pt>
                <c:pt idx="350">
                  <c:v>284</c:v>
                </c:pt>
                <c:pt idx="351">
                  <c:v>283.5</c:v>
                </c:pt>
                <c:pt idx="352">
                  <c:v>283</c:v>
                </c:pt>
                <c:pt idx="353">
                  <c:v>282.5</c:v>
                </c:pt>
                <c:pt idx="354">
                  <c:v>282</c:v>
                </c:pt>
                <c:pt idx="355">
                  <c:v>281.5</c:v>
                </c:pt>
                <c:pt idx="356">
                  <c:v>281</c:v>
                </c:pt>
                <c:pt idx="357">
                  <c:v>280.5</c:v>
                </c:pt>
                <c:pt idx="358">
                  <c:v>280</c:v>
                </c:pt>
                <c:pt idx="359">
                  <c:v>279.5</c:v>
                </c:pt>
                <c:pt idx="360">
                  <c:v>279</c:v>
                </c:pt>
                <c:pt idx="361">
                  <c:v>278.5</c:v>
                </c:pt>
                <c:pt idx="362">
                  <c:v>278</c:v>
                </c:pt>
                <c:pt idx="363">
                  <c:v>277.5</c:v>
                </c:pt>
                <c:pt idx="364">
                  <c:v>277</c:v>
                </c:pt>
                <c:pt idx="365">
                  <c:v>276.5</c:v>
                </c:pt>
                <c:pt idx="366">
                  <c:v>276</c:v>
                </c:pt>
                <c:pt idx="367">
                  <c:v>275.5</c:v>
                </c:pt>
                <c:pt idx="368">
                  <c:v>275</c:v>
                </c:pt>
                <c:pt idx="369">
                  <c:v>274.5</c:v>
                </c:pt>
                <c:pt idx="370">
                  <c:v>274</c:v>
                </c:pt>
                <c:pt idx="371">
                  <c:v>273.5</c:v>
                </c:pt>
                <c:pt idx="372">
                  <c:v>273</c:v>
                </c:pt>
                <c:pt idx="373">
                  <c:v>272.5</c:v>
                </c:pt>
                <c:pt idx="374">
                  <c:v>272</c:v>
                </c:pt>
                <c:pt idx="375">
                  <c:v>271.5</c:v>
                </c:pt>
                <c:pt idx="376">
                  <c:v>271</c:v>
                </c:pt>
                <c:pt idx="377">
                  <c:v>270.5</c:v>
                </c:pt>
                <c:pt idx="378">
                  <c:v>270</c:v>
                </c:pt>
                <c:pt idx="379">
                  <c:v>269.5</c:v>
                </c:pt>
                <c:pt idx="380">
                  <c:v>269</c:v>
                </c:pt>
                <c:pt idx="381">
                  <c:v>268.5</c:v>
                </c:pt>
                <c:pt idx="382">
                  <c:v>268</c:v>
                </c:pt>
                <c:pt idx="383">
                  <c:v>267.5</c:v>
                </c:pt>
                <c:pt idx="384">
                  <c:v>267</c:v>
                </c:pt>
                <c:pt idx="385">
                  <c:v>266.5</c:v>
                </c:pt>
                <c:pt idx="386">
                  <c:v>266</c:v>
                </c:pt>
                <c:pt idx="387">
                  <c:v>265.5</c:v>
                </c:pt>
                <c:pt idx="388">
                  <c:v>265</c:v>
                </c:pt>
                <c:pt idx="389">
                  <c:v>264.5</c:v>
                </c:pt>
                <c:pt idx="390">
                  <c:v>264</c:v>
                </c:pt>
                <c:pt idx="391">
                  <c:v>263.5</c:v>
                </c:pt>
                <c:pt idx="392">
                  <c:v>263</c:v>
                </c:pt>
                <c:pt idx="393">
                  <c:v>262.5</c:v>
                </c:pt>
                <c:pt idx="394">
                  <c:v>262</c:v>
                </c:pt>
                <c:pt idx="395">
                  <c:v>261.5</c:v>
                </c:pt>
                <c:pt idx="396">
                  <c:v>261</c:v>
                </c:pt>
                <c:pt idx="397">
                  <c:v>260.5</c:v>
                </c:pt>
                <c:pt idx="398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E6-48E2-AFAE-84D5DF3CD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126288"/>
        <c:axId val="970125808"/>
      </c:lineChart>
      <c:catAx>
        <c:axId val="97012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0125808"/>
        <c:crosses val="autoZero"/>
        <c:auto val="1"/>
        <c:lblAlgn val="ctr"/>
        <c:lblOffset val="100"/>
        <c:noMultiLvlLbl val="0"/>
      </c:catAx>
      <c:valAx>
        <c:axId val="97012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012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'n=1'!$F$1</c:f>
              <c:strCache>
                <c:ptCount val="1"/>
                <c:pt idx="0">
                  <c:v>C+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'n=1'!$F$2:$F$400</c:f>
              <c:numCache>
                <c:formatCode>General</c:formatCode>
                <c:ptCount val="399"/>
                <c:pt idx="0">
                  <c:v>0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4</c:v>
                </c:pt>
                <c:pt idx="5">
                  <c:v>3.5</c:v>
                </c:pt>
                <c:pt idx="6">
                  <c:v>1</c:v>
                </c:pt>
                <c:pt idx="7">
                  <c:v>1.5</c:v>
                </c:pt>
                <c:pt idx="8">
                  <c:v>3</c:v>
                </c:pt>
                <c:pt idx="9">
                  <c:v>0.5</c:v>
                </c:pt>
                <c:pt idx="10">
                  <c:v>1</c:v>
                </c:pt>
                <c:pt idx="11">
                  <c:v>0.5</c:v>
                </c:pt>
                <c:pt idx="12">
                  <c:v>2</c:v>
                </c:pt>
                <c:pt idx="13">
                  <c:v>4.5</c:v>
                </c:pt>
                <c:pt idx="14">
                  <c:v>6</c:v>
                </c:pt>
                <c:pt idx="15">
                  <c:v>7.5</c:v>
                </c:pt>
                <c:pt idx="16">
                  <c:v>4</c:v>
                </c:pt>
                <c:pt idx="17">
                  <c:v>6.5</c:v>
                </c:pt>
                <c:pt idx="18">
                  <c:v>6</c:v>
                </c:pt>
                <c:pt idx="19">
                  <c:v>8.5</c:v>
                </c:pt>
                <c:pt idx="20">
                  <c:v>5</c:v>
                </c:pt>
                <c:pt idx="21">
                  <c:v>7.5</c:v>
                </c:pt>
                <c:pt idx="22">
                  <c:v>9</c:v>
                </c:pt>
                <c:pt idx="23">
                  <c:v>10.5</c:v>
                </c:pt>
                <c:pt idx="24">
                  <c:v>7</c:v>
                </c:pt>
                <c:pt idx="25">
                  <c:v>4.5</c:v>
                </c:pt>
                <c:pt idx="26">
                  <c:v>4</c:v>
                </c:pt>
                <c:pt idx="27">
                  <c:v>0.5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0.5</c:v>
                </c:pt>
                <c:pt idx="38">
                  <c:v>0</c:v>
                </c:pt>
                <c:pt idx="39">
                  <c:v>1.5</c:v>
                </c:pt>
                <c:pt idx="40">
                  <c:v>2</c:v>
                </c:pt>
                <c:pt idx="41">
                  <c:v>0</c:v>
                </c:pt>
                <c:pt idx="42">
                  <c:v>0.5</c:v>
                </c:pt>
                <c:pt idx="43">
                  <c:v>0</c:v>
                </c:pt>
                <c:pt idx="44">
                  <c:v>1.5</c:v>
                </c:pt>
                <c:pt idx="45">
                  <c:v>2</c:v>
                </c:pt>
                <c:pt idx="46">
                  <c:v>0</c:v>
                </c:pt>
                <c:pt idx="47">
                  <c:v>0</c:v>
                </c:pt>
                <c:pt idx="48">
                  <c:v>2.5</c:v>
                </c:pt>
                <c:pt idx="49">
                  <c:v>6</c:v>
                </c:pt>
                <c:pt idx="50">
                  <c:v>5.5</c:v>
                </c:pt>
                <c:pt idx="51">
                  <c:v>8</c:v>
                </c:pt>
                <c:pt idx="52">
                  <c:v>9.5</c:v>
                </c:pt>
                <c:pt idx="53">
                  <c:v>13</c:v>
                </c:pt>
                <c:pt idx="54">
                  <c:v>9.5</c:v>
                </c:pt>
                <c:pt idx="55">
                  <c:v>11</c:v>
                </c:pt>
                <c:pt idx="56">
                  <c:v>12.5</c:v>
                </c:pt>
                <c:pt idx="57">
                  <c:v>14</c:v>
                </c:pt>
                <c:pt idx="58">
                  <c:v>10.5</c:v>
                </c:pt>
                <c:pt idx="59">
                  <c:v>12</c:v>
                </c:pt>
                <c:pt idx="60">
                  <c:v>9.5</c:v>
                </c:pt>
                <c:pt idx="61">
                  <c:v>11</c:v>
                </c:pt>
                <c:pt idx="62">
                  <c:v>12.5</c:v>
                </c:pt>
                <c:pt idx="63">
                  <c:v>13</c:v>
                </c:pt>
                <c:pt idx="64">
                  <c:v>14.5</c:v>
                </c:pt>
                <c:pt idx="65">
                  <c:v>12</c:v>
                </c:pt>
                <c:pt idx="66">
                  <c:v>10.5</c:v>
                </c:pt>
                <c:pt idx="67">
                  <c:v>6</c:v>
                </c:pt>
                <c:pt idx="68">
                  <c:v>1.5</c:v>
                </c:pt>
                <c:pt idx="69">
                  <c:v>0</c:v>
                </c:pt>
                <c:pt idx="70">
                  <c:v>3.5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0.5</c:v>
                </c:pt>
                <c:pt idx="75">
                  <c:v>0</c:v>
                </c:pt>
                <c:pt idx="76">
                  <c:v>1.5</c:v>
                </c:pt>
                <c:pt idx="77">
                  <c:v>1</c:v>
                </c:pt>
                <c:pt idx="78">
                  <c:v>4.5</c:v>
                </c:pt>
                <c:pt idx="79">
                  <c:v>5</c:v>
                </c:pt>
                <c:pt idx="80">
                  <c:v>4.5</c:v>
                </c:pt>
                <c:pt idx="81">
                  <c:v>3</c:v>
                </c:pt>
                <c:pt idx="82">
                  <c:v>0.5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3.5</c:v>
                </c:pt>
                <c:pt idx="87">
                  <c:v>1</c:v>
                </c:pt>
                <c:pt idx="88">
                  <c:v>4.5</c:v>
                </c:pt>
                <c:pt idx="89">
                  <c:v>6</c:v>
                </c:pt>
                <c:pt idx="90">
                  <c:v>4.5</c:v>
                </c:pt>
                <c:pt idx="91">
                  <c:v>8</c:v>
                </c:pt>
                <c:pt idx="92">
                  <c:v>12.5</c:v>
                </c:pt>
                <c:pt idx="93">
                  <c:v>14</c:v>
                </c:pt>
                <c:pt idx="94">
                  <c:v>11.5</c:v>
                </c:pt>
                <c:pt idx="95">
                  <c:v>7</c:v>
                </c:pt>
                <c:pt idx="96">
                  <c:v>2.5</c:v>
                </c:pt>
                <c:pt idx="97">
                  <c:v>7</c:v>
                </c:pt>
                <c:pt idx="98">
                  <c:v>4.5</c:v>
                </c:pt>
                <c:pt idx="99">
                  <c:v>8</c:v>
                </c:pt>
                <c:pt idx="100">
                  <c:v>8.5</c:v>
                </c:pt>
                <c:pt idx="101">
                  <c:v>8</c:v>
                </c:pt>
                <c:pt idx="102">
                  <c:v>5.5</c:v>
                </c:pt>
                <c:pt idx="103">
                  <c:v>5</c:v>
                </c:pt>
                <c:pt idx="104">
                  <c:v>1.5</c:v>
                </c:pt>
                <c:pt idx="105">
                  <c:v>0</c:v>
                </c:pt>
                <c:pt idx="106">
                  <c:v>1.5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2.5</c:v>
                </c:pt>
                <c:pt idx="111">
                  <c:v>0</c:v>
                </c:pt>
                <c:pt idx="112">
                  <c:v>4.5</c:v>
                </c:pt>
                <c:pt idx="113">
                  <c:v>2</c:v>
                </c:pt>
                <c:pt idx="114">
                  <c:v>0</c:v>
                </c:pt>
                <c:pt idx="115">
                  <c:v>0</c:v>
                </c:pt>
                <c:pt idx="116">
                  <c:v>3.5</c:v>
                </c:pt>
                <c:pt idx="117">
                  <c:v>7</c:v>
                </c:pt>
                <c:pt idx="118">
                  <c:v>6.5</c:v>
                </c:pt>
                <c:pt idx="119">
                  <c:v>8</c:v>
                </c:pt>
                <c:pt idx="120">
                  <c:v>3.5</c:v>
                </c:pt>
                <c:pt idx="121">
                  <c:v>5</c:v>
                </c:pt>
                <c:pt idx="122">
                  <c:v>6.5</c:v>
                </c:pt>
                <c:pt idx="123">
                  <c:v>6</c:v>
                </c:pt>
                <c:pt idx="124">
                  <c:v>9.5</c:v>
                </c:pt>
                <c:pt idx="125">
                  <c:v>10</c:v>
                </c:pt>
                <c:pt idx="126">
                  <c:v>10.5</c:v>
                </c:pt>
                <c:pt idx="127">
                  <c:v>13</c:v>
                </c:pt>
                <c:pt idx="128">
                  <c:v>14.5</c:v>
                </c:pt>
                <c:pt idx="129">
                  <c:v>16</c:v>
                </c:pt>
                <c:pt idx="130">
                  <c:v>14.5</c:v>
                </c:pt>
                <c:pt idx="131">
                  <c:v>10</c:v>
                </c:pt>
                <c:pt idx="132">
                  <c:v>12.5</c:v>
                </c:pt>
                <c:pt idx="133">
                  <c:v>11</c:v>
                </c:pt>
                <c:pt idx="134">
                  <c:v>6.5</c:v>
                </c:pt>
                <c:pt idx="135">
                  <c:v>2</c:v>
                </c:pt>
                <c:pt idx="136">
                  <c:v>0</c:v>
                </c:pt>
                <c:pt idx="137">
                  <c:v>3.5</c:v>
                </c:pt>
                <c:pt idx="138">
                  <c:v>0</c:v>
                </c:pt>
                <c:pt idx="139">
                  <c:v>0</c:v>
                </c:pt>
                <c:pt idx="140">
                  <c:v>4.5</c:v>
                </c:pt>
                <c:pt idx="141">
                  <c:v>2</c:v>
                </c:pt>
                <c:pt idx="142">
                  <c:v>4.5</c:v>
                </c:pt>
                <c:pt idx="143">
                  <c:v>6</c:v>
                </c:pt>
                <c:pt idx="144">
                  <c:v>3.5</c:v>
                </c:pt>
                <c:pt idx="145">
                  <c:v>8</c:v>
                </c:pt>
                <c:pt idx="146">
                  <c:v>5.5</c:v>
                </c:pt>
                <c:pt idx="147">
                  <c:v>7</c:v>
                </c:pt>
                <c:pt idx="148">
                  <c:v>7.5</c:v>
                </c:pt>
                <c:pt idx="149">
                  <c:v>4</c:v>
                </c:pt>
                <c:pt idx="150">
                  <c:v>0.5</c:v>
                </c:pt>
                <c:pt idx="151">
                  <c:v>0</c:v>
                </c:pt>
                <c:pt idx="152">
                  <c:v>0</c:v>
                </c:pt>
                <c:pt idx="153">
                  <c:v>0.5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2.5</c:v>
                </c:pt>
                <c:pt idx="161">
                  <c:v>0</c:v>
                </c:pt>
                <c:pt idx="162">
                  <c:v>0</c:v>
                </c:pt>
                <c:pt idx="163">
                  <c:v>1.5</c:v>
                </c:pt>
                <c:pt idx="164">
                  <c:v>4</c:v>
                </c:pt>
                <c:pt idx="165">
                  <c:v>7.5</c:v>
                </c:pt>
                <c:pt idx="166">
                  <c:v>13</c:v>
                </c:pt>
                <c:pt idx="167">
                  <c:v>13.5</c:v>
                </c:pt>
                <c:pt idx="168">
                  <c:v>13</c:v>
                </c:pt>
                <c:pt idx="169">
                  <c:v>9.5</c:v>
                </c:pt>
                <c:pt idx="170">
                  <c:v>8</c:v>
                </c:pt>
                <c:pt idx="171">
                  <c:v>7.5</c:v>
                </c:pt>
                <c:pt idx="172">
                  <c:v>13</c:v>
                </c:pt>
                <c:pt idx="173">
                  <c:v>13.5</c:v>
                </c:pt>
                <c:pt idx="174">
                  <c:v>19</c:v>
                </c:pt>
                <c:pt idx="175">
                  <c:v>16.5</c:v>
                </c:pt>
                <c:pt idx="176">
                  <c:v>19</c:v>
                </c:pt>
                <c:pt idx="177">
                  <c:v>21.5</c:v>
                </c:pt>
                <c:pt idx="178">
                  <c:v>20</c:v>
                </c:pt>
                <c:pt idx="179">
                  <c:v>19.5</c:v>
                </c:pt>
                <c:pt idx="180">
                  <c:v>15</c:v>
                </c:pt>
                <c:pt idx="181">
                  <c:v>11.5</c:v>
                </c:pt>
                <c:pt idx="182">
                  <c:v>9</c:v>
                </c:pt>
                <c:pt idx="183">
                  <c:v>4.5</c:v>
                </c:pt>
                <c:pt idx="184">
                  <c:v>5</c:v>
                </c:pt>
                <c:pt idx="185">
                  <c:v>2.5</c:v>
                </c:pt>
                <c:pt idx="186">
                  <c:v>6</c:v>
                </c:pt>
                <c:pt idx="187">
                  <c:v>11.5</c:v>
                </c:pt>
                <c:pt idx="188">
                  <c:v>10</c:v>
                </c:pt>
                <c:pt idx="189">
                  <c:v>11.5</c:v>
                </c:pt>
                <c:pt idx="190">
                  <c:v>13</c:v>
                </c:pt>
                <c:pt idx="191">
                  <c:v>8.5</c:v>
                </c:pt>
                <c:pt idx="192">
                  <c:v>8</c:v>
                </c:pt>
                <c:pt idx="193">
                  <c:v>13.5</c:v>
                </c:pt>
                <c:pt idx="194">
                  <c:v>11</c:v>
                </c:pt>
                <c:pt idx="195">
                  <c:v>10.5</c:v>
                </c:pt>
                <c:pt idx="196">
                  <c:v>8</c:v>
                </c:pt>
                <c:pt idx="197">
                  <c:v>9.5</c:v>
                </c:pt>
                <c:pt idx="198">
                  <c:v>7</c:v>
                </c:pt>
                <c:pt idx="199">
                  <c:v>8.5</c:v>
                </c:pt>
                <c:pt idx="200">
                  <c:v>5</c:v>
                </c:pt>
                <c:pt idx="201">
                  <c:v>8.5</c:v>
                </c:pt>
                <c:pt idx="202">
                  <c:v>11</c:v>
                </c:pt>
                <c:pt idx="203">
                  <c:v>9.5</c:v>
                </c:pt>
                <c:pt idx="204">
                  <c:v>6</c:v>
                </c:pt>
                <c:pt idx="205">
                  <c:v>10.5</c:v>
                </c:pt>
                <c:pt idx="206">
                  <c:v>14</c:v>
                </c:pt>
                <c:pt idx="207">
                  <c:v>15.5</c:v>
                </c:pt>
                <c:pt idx="208">
                  <c:v>13</c:v>
                </c:pt>
                <c:pt idx="209">
                  <c:v>17.5</c:v>
                </c:pt>
                <c:pt idx="210">
                  <c:v>20</c:v>
                </c:pt>
                <c:pt idx="211">
                  <c:v>18.5</c:v>
                </c:pt>
                <c:pt idx="212">
                  <c:v>15</c:v>
                </c:pt>
                <c:pt idx="213">
                  <c:v>19.5</c:v>
                </c:pt>
                <c:pt idx="214">
                  <c:v>15</c:v>
                </c:pt>
                <c:pt idx="215">
                  <c:v>16.5</c:v>
                </c:pt>
                <c:pt idx="216">
                  <c:v>12</c:v>
                </c:pt>
                <c:pt idx="217">
                  <c:v>14.5</c:v>
                </c:pt>
                <c:pt idx="218">
                  <c:v>17</c:v>
                </c:pt>
                <c:pt idx="219">
                  <c:v>17.5</c:v>
                </c:pt>
                <c:pt idx="220">
                  <c:v>19</c:v>
                </c:pt>
                <c:pt idx="221">
                  <c:v>22.5</c:v>
                </c:pt>
                <c:pt idx="222">
                  <c:v>20</c:v>
                </c:pt>
                <c:pt idx="223">
                  <c:v>18.5</c:v>
                </c:pt>
                <c:pt idx="224">
                  <c:v>24</c:v>
                </c:pt>
                <c:pt idx="225">
                  <c:v>23.5</c:v>
                </c:pt>
                <c:pt idx="226">
                  <c:v>19</c:v>
                </c:pt>
                <c:pt idx="227">
                  <c:v>14.5</c:v>
                </c:pt>
                <c:pt idx="228">
                  <c:v>11</c:v>
                </c:pt>
                <c:pt idx="229">
                  <c:v>10.5</c:v>
                </c:pt>
                <c:pt idx="230">
                  <c:v>12</c:v>
                </c:pt>
                <c:pt idx="231">
                  <c:v>9.5</c:v>
                </c:pt>
                <c:pt idx="232">
                  <c:v>11</c:v>
                </c:pt>
                <c:pt idx="233">
                  <c:v>11.5</c:v>
                </c:pt>
                <c:pt idx="234">
                  <c:v>14</c:v>
                </c:pt>
                <c:pt idx="235">
                  <c:v>14.5</c:v>
                </c:pt>
                <c:pt idx="236">
                  <c:v>16</c:v>
                </c:pt>
                <c:pt idx="237">
                  <c:v>10.5</c:v>
                </c:pt>
                <c:pt idx="238">
                  <c:v>9</c:v>
                </c:pt>
                <c:pt idx="239">
                  <c:v>8.5</c:v>
                </c:pt>
                <c:pt idx="240">
                  <c:v>13</c:v>
                </c:pt>
                <c:pt idx="241">
                  <c:v>10.5</c:v>
                </c:pt>
                <c:pt idx="242">
                  <c:v>9</c:v>
                </c:pt>
                <c:pt idx="243">
                  <c:v>7.5</c:v>
                </c:pt>
                <c:pt idx="244">
                  <c:v>9</c:v>
                </c:pt>
                <c:pt idx="245">
                  <c:v>9.5</c:v>
                </c:pt>
                <c:pt idx="246">
                  <c:v>15</c:v>
                </c:pt>
                <c:pt idx="247">
                  <c:v>16.5</c:v>
                </c:pt>
                <c:pt idx="248">
                  <c:v>14</c:v>
                </c:pt>
                <c:pt idx="249">
                  <c:v>18.5</c:v>
                </c:pt>
                <c:pt idx="250">
                  <c:v>24</c:v>
                </c:pt>
                <c:pt idx="251">
                  <c:v>20.5</c:v>
                </c:pt>
                <c:pt idx="252">
                  <c:v>22</c:v>
                </c:pt>
                <c:pt idx="253">
                  <c:v>28.5</c:v>
                </c:pt>
                <c:pt idx="254">
                  <c:v>33</c:v>
                </c:pt>
                <c:pt idx="255">
                  <c:v>29.5</c:v>
                </c:pt>
                <c:pt idx="256">
                  <c:v>36</c:v>
                </c:pt>
                <c:pt idx="257">
                  <c:v>41.5</c:v>
                </c:pt>
                <c:pt idx="258">
                  <c:v>38</c:v>
                </c:pt>
                <c:pt idx="259">
                  <c:v>43.5</c:v>
                </c:pt>
                <c:pt idx="260">
                  <c:v>47</c:v>
                </c:pt>
                <c:pt idx="261">
                  <c:v>41.5</c:v>
                </c:pt>
                <c:pt idx="262">
                  <c:v>45</c:v>
                </c:pt>
                <c:pt idx="263">
                  <c:v>50.5</c:v>
                </c:pt>
                <c:pt idx="264">
                  <c:v>51</c:v>
                </c:pt>
                <c:pt idx="265">
                  <c:v>55.5</c:v>
                </c:pt>
                <c:pt idx="266">
                  <c:v>55</c:v>
                </c:pt>
                <c:pt idx="267">
                  <c:v>52.5</c:v>
                </c:pt>
                <c:pt idx="268">
                  <c:v>51</c:v>
                </c:pt>
                <c:pt idx="269">
                  <c:v>47.5</c:v>
                </c:pt>
                <c:pt idx="270">
                  <c:v>46</c:v>
                </c:pt>
                <c:pt idx="271">
                  <c:v>41.5</c:v>
                </c:pt>
                <c:pt idx="272">
                  <c:v>39</c:v>
                </c:pt>
                <c:pt idx="273">
                  <c:v>41.5</c:v>
                </c:pt>
                <c:pt idx="274">
                  <c:v>45</c:v>
                </c:pt>
                <c:pt idx="275">
                  <c:v>45.5</c:v>
                </c:pt>
                <c:pt idx="276">
                  <c:v>49</c:v>
                </c:pt>
                <c:pt idx="277">
                  <c:v>49.5</c:v>
                </c:pt>
                <c:pt idx="278">
                  <c:v>44</c:v>
                </c:pt>
                <c:pt idx="279">
                  <c:v>50.5</c:v>
                </c:pt>
                <c:pt idx="280">
                  <c:v>48</c:v>
                </c:pt>
                <c:pt idx="281">
                  <c:v>43.5</c:v>
                </c:pt>
                <c:pt idx="282">
                  <c:v>44</c:v>
                </c:pt>
                <c:pt idx="283">
                  <c:v>50.5</c:v>
                </c:pt>
                <c:pt idx="284">
                  <c:v>54</c:v>
                </c:pt>
                <c:pt idx="285">
                  <c:v>48.5</c:v>
                </c:pt>
                <c:pt idx="286">
                  <c:v>52</c:v>
                </c:pt>
                <c:pt idx="287">
                  <c:v>54.5</c:v>
                </c:pt>
                <c:pt idx="288">
                  <c:v>58</c:v>
                </c:pt>
                <c:pt idx="289">
                  <c:v>63.5</c:v>
                </c:pt>
                <c:pt idx="290">
                  <c:v>61</c:v>
                </c:pt>
                <c:pt idx="291">
                  <c:v>56.5</c:v>
                </c:pt>
                <c:pt idx="292">
                  <c:v>62</c:v>
                </c:pt>
                <c:pt idx="293">
                  <c:v>62.5</c:v>
                </c:pt>
                <c:pt idx="294">
                  <c:v>69</c:v>
                </c:pt>
                <c:pt idx="295">
                  <c:v>72.5</c:v>
                </c:pt>
                <c:pt idx="296">
                  <c:v>75</c:v>
                </c:pt>
                <c:pt idx="297">
                  <c:v>75.5</c:v>
                </c:pt>
                <c:pt idx="298">
                  <c:v>76</c:v>
                </c:pt>
                <c:pt idx="299">
                  <c:v>81.5</c:v>
                </c:pt>
                <c:pt idx="300">
                  <c:v>83</c:v>
                </c:pt>
                <c:pt idx="301">
                  <c:v>81.5</c:v>
                </c:pt>
                <c:pt idx="302">
                  <c:v>76</c:v>
                </c:pt>
                <c:pt idx="303">
                  <c:v>73.5</c:v>
                </c:pt>
                <c:pt idx="304">
                  <c:v>78</c:v>
                </c:pt>
                <c:pt idx="305">
                  <c:v>76.5</c:v>
                </c:pt>
                <c:pt idx="306">
                  <c:v>82</c:v>
                </c:pt>
                <c:pt idx="307">
                  <c:v>76.5</c:v>
                </c:pt>
                <c:pt idx="308">
                  <c:v>72</c:v>
                </c:pt>
                <c:pt idx="309">
                  <c:v>73.5</c:v>
                </c:pt>
                <c:pt idx="310">
                  <c:v>76</c:v>
                </c:pt>
                <c:pt idx="311">
                  <c:v>71.5</c:v>
                </c:pt>
                <c:pt idx="312">
                  <c:v>75</c:v>
                </c:pt>
                <c:pt idx="313">
                  <c:v>69.5</c:v>
                </c:pt>
                <c:pt idx="314">
                  <c:v>73</c:v>
                </c:pt>
                <c:pt idx="315">
                  <c:v>76.5</c:v>
                </c:pt>
                <c:pt idx="316">
                  <c:v>72</c:v>
                </c:pt>
                <c:pt idx="317">
                  <c:v>76.5</c:v>
                </c:pt>
                <c:pt idx="318">
                  <c:v>74</c:v>
                </c:pt>
                <c:pt idx="319">
                  <c:v>70.5</c:v>
                </c:pt>
                <c:pt idx="320">
                  <c:v>76</c:v>
                </c:pt>
                <c:pt idx="321">
                  <c:v>77.5</c:v>
                </c:pt>
                <c:pt idx="322">
                  <c:v>82</c:v>
                </c:pt>
                <c:pt idx="323">
                  <c:v>85.5</c:v>
                </c:pt>
                <c:pt idx="324">
                  <c:v>85</c:v>
                </c:pt>
                <c:pt idx="325">
                  <c:v>85.5</c:v>
                </c:pt>
                <c:pt idx="326">
                  <c:v>84</c:v>
                </c:pt>
                <c:pt idx="327">
                  <c:v>79.5</c:v>
                </c:pt>
                <c:pt idx="328">
                  <c:v>75</c:v>
                </c:pt>
                <c:pt idx="329">
                  <c:v>72.5</c:v>
                </c:pt>
                <c:pt idx="330">
                  <c:v>75</c:v>
                </c:pt>
                <c:pt idx="331">
                  <c:v>71.5</c:v>
                </c:pt>
                <c:pt idx="332">
                  <c:v>67</c:v>
                </c:pt>
                <c:pt idx="333">
                  <c:v>71.5</c:v>
                </c:pt>
                <c:pt idx="334">
                  <c:v>71</c:v>
                </c:pt>
                <c:pt idx="335">
                  <c:v>67.5</c:v>
                </c:pt>
                <c:pt idx="336">
                  <c:v>64</c:v>
                </c:pt>
                <c:pt idx="337">
                  <c:v>63.5</c:v>
                </c:pt>
                <c:pt idx="338">
                  <c:v>67</c:v>
                </c:pt>
                <c:pt idx="339">
                  <c:v>67.5</c:v>
                </c:pt>
                <c:pt idx="340">
                  <c:v>63</c:v>
                </c:pt>
                <c:pt idx="341">
                  <c:v>66.5</c:v>
                </c:pt>
                <c:pt idx="342">
                  <c:v>68</c:v>
                </c:pt>
                <c:pt idx="343">
                  <c:v>67.5</c:v>
                </c:pt>
                <c:pt idx="344">
                  <c:v>66</c:v>
                </c:pt>
                <c:pt idx="345">
                  <c:v>69.5</c:v>
                </c:pt>
                <c:pt idx="346">
                  <c:v>67</c:v>
                </c:pt>
                <c:pt idx="347">
                  <c:v>69.5</c:v>
                </c:pt>
                <c:pt idx="348">
                  <c:v>66</c:v>
                </c:pt>
                <c:pt idx="349">
                  <c:v>68.5</c:v>
                </c:pt>
                <c:pt idx="350">
                  <c:v>75</c:v>
                </c:pt>
                <c:pt idx="351">
                  <c:v>71.5</c:v>
                </c:pt>
                <c:pt idx="352">
                  <c:v>74</c:v>
                </c:pt>
                <c:pt idx="353">
                  <c:v>72.5</c:v>
                </c:pt>
                <c:pt idx="354">
                  <c:v>71</c:v>
                </c:pt>
                <c:pt idx="355">
                  <c:v>75.5</c:v>
                </c:pt>
                <c:pt idx="356">
                  <c:v>78</c:v>
                </c:pt>
                <c:pt idx="357">
                  <c:v>79.5</c:v>
                </c:pt>
                <c:pt idx="358">
                  <c:v>81</c:v>
                </c:pt>
                <c:pt idx="359">
                  <c:v>83.5</c:v>
                </c:pt>
                <c:pt idx="360">
                  <c:v>88</c:v>
                </c:pt>
                <c:pt idx="361">
                  <c:v>87.5</c:v>
                </c:pt>
                <c:pt idx="362">
                  <c:v>92</c:v>
                </c:pt>
                <c:pt idx="363">
                  <c:v>94.5</c:v>
                </c:pt>
                <c:pt idx="364">
                  <c:v>95</c:v>
                </c:pt>
                <c:pt idx="365">
                  <c:v>98.5</c:v>
                </c:pt>
                <c:pt idx="366">
                  <c:v>99</c:v>
                </c:pt>
                <c:pt idx="367">
                  <c:v>104.5</c:v>
                </c:pt>
                <c:pt idx="368">
                  <c:v>104</c:v>
                </c:pt>
                <c:pt idx="369">
                  <c:v>108.5</c:v>
                </c:pt>
                <c:pt idx="370">
                  <c:v>114</c:v>
                </c:pt>
                <c:pt idx="371">
                  <c:v>119.5</c:v>
                </c:pt>
                <c:pt idx="372">
                  <c:v>123</c:v>
                </c:pt>
                <c:pt idx="373">
                  <c:v>123.5</c:v>
                </c:pt>
                <c:pt idx="374">
                  <c:v>125</c:v>
                </c:pt>
                <c:pt idx="375">
                  <c:v>123.5</c:v>
                </c:pt>
                <c:pt idx="376">
                  <c:v>118</c:v>
                </c:pt>
                <c:pt idx="377">
                  <c:v>119.5</c:v>
                </c:pt>
                <c:pt idx="378">
                  <c:v>126</c:v>
                </c:pt>
                <c:pt idx="379">
                  <c:v>124.5</c:v>
                </c:pt>
                <c:pt idx="380">
                  <c:v>119</c:v>
                </c:pt>
                <c:pt idx="381">
                  <c:v>122.5</c:v>
                </c:pt>
                <c:pt idx="382">
                  <c:v>130</c:v>
                </c:pt>
                <c:pt idx="383">
                  <c:v>128.5</c:v>
                </c:pt>
                <c:pt idx="384">
                  <c:v>127</c:v>
                </c:pt>
                <c:pt idx="385">
                  <c:v>122.5</c:v>
                </c:pt>
                <c:pt idx="386">
                  <c:v>121</c:v>
                </c:pt>
                <c:pt idx="387">
                  <c:v>123.5</c:v>
                </c:pt>
                <c:pt idx="388">
                  <c:v>127</c:v>
                </c:pt>
                <c:pt idx="389">
                  <c:v>123.5</c:v>
                </c:pt>
                <c:pt idx="390">
                  <c:v>126</c:v>
                </c:pt>
                <c:pt idx="391">
                  <c:v>124.5</c:v>
                </c:pt>
                <c:pt idx="392">
                  <c:v>122</c:v>
                </c:pt>
                <c:pt idx="393">
                  <c:v>128.5</c:v>
                </c:pt>
                <c:pt idx="394">
                  <c:v>131</c:v>
                </c:pt>
                <c:pt idx="395">
                  <c:v>131.5</c:v>
                </c:pt>
                <c:pt idx="396">
                  <c:v>126</c:v>
                </c:pt>
                <c:pt idx="397">
                  <c:v>128.5</c:v>
                </c:pt>
                <c:pt idx="398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C1-4670-AF0B-C1B7FBE63D7C}"/>
            </c:ext>
          </c:extLst>
        </c:ser>
        <c:ser>
          <c:idx val="1"/>
          <c:order val="1"/>
          <c:tx>
            <c:strRef>
              <c:f>'n=1'!$G$1</c:f>
              <c:strCache>
                <c:ptCount val="1"/>
                <c:pt idx="0">
                  <c:v>C-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'n=1'!$G$2:$G$400</c:f>
              <c:numCache>
                <c:formatCode>General</c:formatCode>
                <c:ptCount val="3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1.5</c:v>
                </c:pt>
                <c:pt idx="7">
                  <c:v>0</c:v>
                </c:pt>
                <c:pt idx="8">
                  <c:v>0</c:v>
                </c:pt>
                <c:pt idx="9">
                  <c:v>1.5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2.5</c:v>
                </c:pt>
                <c:pt idx="25">
                  <c:v>4</c:v>
                </c:pt>
                <c:pt idx="26">
                  <c:v>3.5</c:v>
                </c:pt>
                <c:pt idx="27">
                  <c:v>6</c:v>
                </c:pt>
                <c:pt idx="28">
                  <c:v>6.5</c:v>
                </c:pt>
                <c:pt idx="29">
                  <c:v>6</c:v>
                </c:pt>
                <c:pt idx="30">
                  <c:v>5.5</c:v>
                </c:pt>
                <c:pt idx="31">
                  <c:v>8</c:v>
                </c:pt>
                <c:pt idx="32">
                  <c:v>6.5</c:v>
                </c:pt>
                <c:pt idx="33">
                  <c:v>7</c:v>
                </c:pt>
                <c:pt idx="34">
                  <c:v>7.5</c:v>
                </c:pt>
                <c:pt idx="35">
                  <c:v>8</c:v>
                </c:pt>
                <c:pt idx="36">
                  <c:v>9.5</c:v>
                </c:pt>
                <c:pt idx="37">
                  <c:v>8</c:v>
                </c:pt>
                <c:pt idx="38">
                  <c:v>9.5</c:v>
                </c:pt>
                <c:pt idx="39">
                  <c:v>7</c:v>
                </c:pt>
                <c:pt idx="40">
                  <c:v>5.5</c:v>
                </c:pt>
                <c:pt idx="41">
                  <c:v>8</c:v>
                </c:pt>
                <c:pt idx="42">
                  <c:v>6.5</c:v>
                </c:pt>
                <c:pt idx="43">
                  <c:v>8</c:v>
                </c:pt>
                <c:pt idx="44">
                  <c:v>5.5</c:v>
                </c:pt>
                <c:pt idx="45">
                  <c:v>4</c:v>
                </c:pt>
                <c:pt idx="46">
                  <c:v>6.5</c:v>
                </c:pt>
                <c:pt idx="47">
                  <c:v>8</c:v>
                </c:pt>
                <c:pt idx="48">
                  <c:v>4.5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2.5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2.5</c:v>
                </c:pt>
                <c:pt idx="59">
                  <c:v>0</c:v>
                </c:pt>
                <c:pt idx="60">
                  <c:v>1.5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1.5</c:v>
                </c:pt>
                <c:pt idx="66">
                  <c:v>2</c:v>
                </c:pt>
                <c:pt idx="67">
                  <c:v>5.5</c:v>
                </c:pt>
                <c:pt idx="68">
                  <c:v>9</c:v>
                </c:pt>
                <c:pt idx="69">
                  <c:v>9.5</c:v>
                </c:pt>
                <c:pt idx="70">
                  <c:v>5</c:v>
                </c:pt>
                <c:pt idx="71">
                  <c:v>5.5</c:v>
                </c:pt>
                <c:pt idx="72">
                  <c:v>9</c:v>
                </c:pt>
                <c:pt idx="73">
                  <c:v>11.5</c:v>
                </c:pt>
                <c:pt idx="74">
                  <c:v>10</c:v>
                </c:pt>
                <c:pt idx="75">
                  <c:v>10.5</c:v>
                </c:pt>
                <c:pt idx="76">
                  <c:v>8</c:v>
                </c:pt>
                <c:pt idx="77">
                  <c:v>7.5</c:v>
                </c:pt>
                <c:pt idx="78">
                  <c:v>3</c:v>
                </c:pt>
                <c:pt idx="79">
                  <c:v>1.5</c:v>
                </c:pt>
                <c:pt idx="80">
                  <c:v>1</c:v>
                </c:pt>
                <c:pt idx="81">
                  <c:v>1.5</c:v>
                </c:pt>
                <c:pt idx="82">
                  <c:v>3</c:v>
                </c:pt>
                <c:pt idx="83">
                  <c:v>3.5</c:v>
                </c:pt>
                <c:pt idx="84">
                  <c:v>6</c:v>
                </c:pt>
                <c:pt idx="85">
                  <c:v>6.5</c:v>
                </c:pt>
                <c:pt idx="86">
                  <c:v>2</c:v>
                </c:pt>
                <c:pt idx="87">
                  <c:v>3.5</c:v>
                </c:pt>
                <c:pt idx="88">
                  <c:v>0</c:v>
                </c:pt>
                <c:pt idx="89">
                  <c:v>0</c:v>
                </c:pt>
                <c:pt idx="90">
                  <c:v>0.5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1.5</c:v>
                </c:pt>
                <c:pt idx="95">
                  <c:v>5</c:v>
                </c:pt>
                <c:pt idx="96">
                  <c:v>8.5</c:v>
                </c:pt>
                <c:pt idx="97">
                  <c:v>3</c:v>
                </c:pt>
                <c:pt idx="98">
                  <c:v>4.5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1.5</c:v>
                </c:pt>
                <c:pt idx="103">
                  <c:v>1</c:v>
                </c:pt>
                <c:pt idx="104">
                  <c:v>3.5</c:v>
                </c:pt>
                <c:pt idx="105">
                  <c:v>6</c:v>
                </c:pt>
                <c:pt idx="106">
                  <c:v>3.5</c:v>
                </c:pt>
                <c:pt idx="107">
                  <c:v>3</c:v>
                </c:pt>
                <c:pt idx="108">
                  <c:v>3.5</c:v>
                </c:pt>
                <c:pt idx="109">
                  <c:v>4</c:v>
                </c:pt>
                <c:pt idx="110">
                  <c:v>0.5</c:v>
                </c:pt>
                <c:pt idx="111">
                  <c:v>4</c:v>
                </c:pt>
                <c:pt idx="112">
                  <c:v>0</c:v>
                </c:pt>
                <c:pt idx="113">
                  <c:v>1.5</c:v>
                </c:pt>
                <c:pt idx="114">
                  <c:v>5</c:v>
                </c:pt>
                <c:pt idx="115">
                  <c:v>5.5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3.5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0.5</c:v>
                </c:pt>
                <c:pt idx="131">
                  <c:v>4</c:v>
                </c:pt>
                <c:pt idx="132">
                  <c:v>0.5</c:v>
                </c:pt>
                <c:pt idx="133">
                  <c:v>1</c:v>
                </c:pt>
                <c:pt idx="134">
                  <c:v>4.5</c:v>
                </c:pt>
                <c:pt idx="135">
                  <c:v>8</c:v>
                </c:pt>
                <c:pt idx="136">
                  <c:v>10.5</c:v>
                </c:pt>
                <c:pt idx="137">
                  <c:v>6</c:v>
                </c:pt>
                <c:pt idx="138">
                  <c:v>9.5</c:v>
                </c:pt>
                <c:pt idx="139">
                  <c:v>12</c:v>
                </c:pt>
                <c:pt idx="140">
                  <c:v>6.5</c:v>
                </c:pt>
                <c:pt idx="141">
                  <c:v>8</c:v>
                </c:pt>
                <c:pt idx="142">
                  <c:v>4.5</c:v>
                </c:pt>
                <c:pt idx="143">
                  <c:v>2</c:v>
                </c:pt>
                <c:pt idx="144">
                  <c:v>3.5</c:v>
                </c:pt>
                <c:pt idx="145">
                  <c:v>0</c:v>
                </c:pt>
                <c:pt idx="146">
                  <c:v>1.5</c:v>
                </c:pt>
                <c:pt idx="147">
                  <c:v>0</c:v>
                </c:pt>
                <c:pt idx="148">
                  <c:v>0</c:v>
                </c:pt>
                <c:pt idx="149">
                  <c:v>2.5</c:v>
                </c:pt>
                <c:pt idx="150">
                  <c:v>5</c:v>
                </c:pt>
                <c:pt idx="151">
                  <c:v>7.5</c:v>
                </c:pt>
                <c:pt idx="152">
                  <c:v>8</c:v>
                </c:pt>
                <c:pt idx="153">
                  <c:v>6.5</c:v>
                </c:pt>
                <c:pt idx="154">
                  <c:v>8</c:v>
                </c:pt>
                <c:pt idx="155">
                  <c:v>7.5</c:v>
                </c:pt>
                <c:pt idx="156">
                  <c:v>10</c:v>
                </c:pt>
                <c:pt idx="157">
                  <c:v>12.5</c:v>
                </c:pt>
                <c:pt idx="158">
                  <c:v>12</c:v>
                </c:pt>
                <c:pt idx="159">
                  <c:v>11.5</c:v>
                </c:pt>
                <c:pt idx="160">
                  <c:v>8</c:v>
                </c:pt>
                <c:pt idx="161">
                  <c:v>9.5</c:v>
                </c:pt>
                <c:pt idx="162">
                  <c:v>12</c:v>
                </c:pt>
                <c:pt idx="163">
                  <c:v>9.5</c:v>
                </c:pt>
                <c:pt idx="164">
                  <c:v>6</c:v>
                </c:pt>
                <c:pt idx="165">
                  <c:v>1.5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2.5</c:v>
                </c:pt>
                <c:pt idx="170">
                  <c:v>3</c:v>
                </c:pt>
                <c:pt idx="171">
                  <c:v>2.5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1.5</c:v>
                </c:pt>
                <c:pt idx="176">
                  <c:v>0</c:v>
                </c:pt>
                <c:pt idx="177">
                  <c:v>0</c:v>
                </c:pt>
                <c:pt idx="178">
                  <c:v>0.5</c:v>
                </c:pt>
                <c:pt idx="179">
                  <c:v>0</c:v>
                </c:pt>
                <c:pt idx="180">
                  <c:v>3.5</c:v>
                </c:pt>
                <c:pt idx="181">
                  <c:v>6</c:v>
                </c:pt>
                <c:pt idx="182">
                  <c:v>7.5</c:v>
                </c:pt>
                <c:pt idx="183">
                  <c:v>11</c:v>
                </c:pt>
                <c:pt idx="184">
                  <c:v>9.5</c:v>
                </c:pt>
                <c:pt idx="185">
                  <c:v>11</c:v>
                </c:pt>
                <c:pt idx="186">
                  <c:v>6.5</c:v>
                </c:pt>
                <c:pt idx="187">
                  <c:v>0</c:v>
                </c:pt>
                <c:pt idx="188">
                  <c:v>0.5</c:v>
                </c:pt>
                <c:pt idx="189">
                  <c:v>0</c:v>
                </c:pt>
                <c:pt idx="190">
                  <c:v>0</c:v>
                </c:pt>
                <c:pt idx="191">
                  <c:v>3.5</c:v>
                </c:pt>
                <c:pt idx="192">
                  <c:v>3</c:v>
                </c:pt>
                <c:pt idx="193">
                  <c:v>0</c:v>
                </c:pt>
                <c:pt idx="194">
                  <c:v>1.5</c:v>
                </c:pt>
                <c:pt idx="195">
                  <c:v>1</c:v>
                </c:pt>
                <c:pt idx="196">
                  <c:v>2.5</c:v>
                </c:pt>
                <c:pt idx="197">
                  <c:v>0</c:v>
                </c:pt>
                <c:pt idx="198">
                  <c:v>1.5</c:v>
                </c:pt>
                <c:pt idx="199">
                  <c:v>0</c:v>
                </c:pt>
                <c:pt idx="200">
                  <c:v>2.5</c:v>
                </c:pt>
                <c:pt idx="201">
                  <c:v>0</c:v>
                </c:pt>
                <c:pt idx="202">
                  <c:v>0</c:v>
                </c:pt>
                <c:pt idx="203">
                  <c:v>0.5</c:v>
                </c:pt>
                <c:pt idx="204">
                  <c:v>3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1.5</c:v>
                </c:pt>
                <c:pt idx="209">
                  <c:v>0</c:v>
                </c:pt>
                <c:pt idx="210">
                  <c:v>0</c:v>
                </c:pt>
                <c:pt idx="211">
                  <c:v>0.5</c:v>
                </c:pt>
                <c:pt idx="212">
                  <c:v>3</c:v>
                </c:pt>
                <c:pt idx="213">
                  <c:v>0</c:v>
                </c:pt>
                <c:pt idx="214">
                  <c:v>3.5</c:v>
                </c:pt>
                <c:pt idx="215">
                  <c:v>1</c:v>
                </c:pt>
                <c:pt idx="216">
                  <c:v>4.5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1.5</c:v>
                </c:pt>
                <c:pt idx="223">
                  <c:v>2</c:v>
                </c:pt>
                <c:pt idx="224">
                  <c:v>0</c:v>
                </c:pt>
                <c:pt idx="225">
                  <c:v>0</c:v>
                </c:pt>
                <c:pt idx="226">
                  <c:v>3.5</c:v>
                </c:pt>
                <c:pt idx="227">
                  <c:v>7</c:v>
                </c:pt>
                <c:pt idx="228">
                  <c:v>9.5</c:v>
                </c:pt>
                <c:pt idx="229">
                  <c:v>9</c:v>
                </c:pt>
                <c:pt idx="230">
                  <c:v>6.5</c:v>
                </c:pt>
                <c:pt idx="231">
                  <c:v>8</c:v>
                </c:pt>
                <c:pt idx="232">
                  <c:v>5.5</c:v>
                </c:pt>
                <c:pt idx="233">
                  <c:v>4</c:v>
                </c:pt>
                <c:pt idx="234">
                  <c:v>0.5</c:v>
                </c:pt>
                <c:pt idx="235">
                  <c:v>0</c:v>
                </c:pt>
                <c:pt idx="236">
                  <c:v>0</c:v>
                </c:pt>
                <c:pt idx="237">
                  <c:v>4.5</c:v>
                </c:pt>
                <c:pt idx="238">
                  <c:v>5</c:v>
                </c:pt>
                <c:pt idx="239">
                  <c:v>4.5</c:v>
                </c:pt>
                <c:pt idx="240">
                  <c:v>0</c:v>
                </c:pt>
                <c:pt idx="241">
                  <c:v>1.5</c:v>
                </c:pt>
                <c:pt idx="242">
                  <c:v>2</c:v>
                </c:pt>
                <c:pt idx="243">
                  <c:v>2.5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1.5</c:v>
                </c:pt>
                <c:pt idx="249">
                  <c:v>0</c:v>
                </c:pt>
                <c:pt idx="250">
                  <c:v>0</c:v>
                </c:pt>
                <c:pt idx="251">
                  <c:v>2.5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2.5</c:v>
                </c:pt>
                <c:pt idx="256">
                  <c:v>0</c:v>
                </c:pt>
                <c:pt idx="257">
                  <c:v>0</c:v>
                </c:pt>
                <c:pt idx="258">
                  <c:v>2.5</c:v>
                </c:pt>
                <c:pt idx="259">
                  <c:v>0</c:v>
                </c:pt>
                <c:pt idx="260">
                  <c:v>0</c:v>
                </c:pt>
                <c:pt idx="261">
                  <c:v>4.5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1.5</c:v>
                </c:pt>
                <c:pt idx="268">
                  <c:v>2</c:v>
                </c:pt>
                <c:pt idx="269">
                  <c:v>4.5</c:v>
                </c:pt>
                <c:pt idx="270">
                  <c:v>5</c:v>
                </c:pt>
                <c:pt idx="271">
                  <c:v>8.5</c:v>
                </c:pt>
                <c:pt idx="272">
                  <c:v>10</c:v>
                </c:pt>
                <c:pt idx="273">
                  <c:v>6.5</c:v>
                </c:pt>
                <c:pt idx="274">
                  <c:v>2</c:v>
                </c:pt>
                <c:pt idx="275">
                  <c:v>0.5</c:v>
                </c:pt>
                <c:pt idx="276">
                  <c:v>0</c:v>
                </c:pt>
                <c:pt idx="277">
                  <c:v>0</c:v>
                </c:pt>
                <c:pt idx="278">
                  <c:v>4.5</c:v>
                </c:pt>
                <c:pt idx="279">
                  <c:v>0</c:v>
                </c:pt>
                <c:pt idx="280">
                  <c:v>1.5</c:v>
                </c:pt>
                <c:pt idx="281">
                  <c:v>5</c:v>
                </c:pt>
                <c:pt idx="282">
                  <c:v>3.5</c:v>
                </c:pt>
                <c:pt idx="283">
                  <c:v>0</c:v>
                </c:pt>
                <c:pt idx="284">
                  <c:v>0</c:v>
                </c:pt>
                <c:pt idx="285">
                  <c:v>4.5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1.5</c:v>
                </c:pt>
                <c:pt idx="291">
                  <c:v>5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0.5</c:v>
                </c:pt>
                <c:pt idx="302">
                  <c:v>5</c:v>
                </c:pt>
                <c:pt idx="303">
                  <c:v>6.5</c:v>
                </c:pt>
                <c:pt idx="304">
                  <c:v>1</c:v>
                </c:pt>
                <c:pt idx="305">
                  <c:v>1.5</c:v>
                </c:pt>
                <c:pt idx="306">
                  <c:v>0</c:v>
                </c:pt>
                <c:pt idx="307">
                  <c:v>4.5</c:v>
                </c:pt>
                <c:pt idx="308">
                  <c:v>8</c:v>
                </c:pt>
                <c:pt idx="309">
                  <c:v>5.5</c:v>
                </c:pt>
                <c:pt idx="310">
                  <c:v>2</c:v>
                </c:pt>
                <c:pt idx="311">
                  <c:v>5.5</c:v>
                </c:pt>
                <c:pt idx="312">
                  <c:v>1</c:v>
                </c:pt>
                <c:pt idx="313">
                  <c:v>5.5</c:v>
                </c:pt>
                <c:pt idx="314">
                  <c:v>1</c:v>
                </c:pt>
                <c:pt idx="315">
                  <c:v>0</c:v>
                </c:pt>
                <c:pt idx="316">
                  <c:v>3.5</c:v>
                </c:pt>
                <c:pt idx="317">
                  <c:v>0</c:v>
                </c:pt>
                <c:pt idx="318">
                  <c:v>1.5</c:v>
                </c:pt>
                <c:pt idx="319">
                  <c:v>4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0.5</c:v>
                </c:pt>
                <c:pt idx="327">
                  <c:v>4</c:v>
                </c:pt>
                <c:pt idx="328">
                  <c:v>7.5</c:v>
                </c:pt>
                <c:pt idx="329">
                  <c:v>9</c:v>
                </c:pt>
                <c:pt idx="330">
                  <c:v>5.5</c:v>
                </c:pt>
                <c:pt idx="331">
                  <c:v>8</c:v>
                </c:pt>
                <c:pt idx="332">
                  <c:v>11.5</c:v>
                </c:pt>
                <c:pt idx="333">
                  <c:v>6</c:v>
                </c:pt>
                <c:pt idx="334">
                  <c:v>5.5</c:v>
                </c:pt>
                <c:pt idx="335">
                  <c:v>8</c:v>
                </c:pt>
                <c:pt idx="336">
                  <c:v>10.5</c:v>
                </c:pt>
                <c:pt idx="337">
                  <c:v>10</c:v>
                </c:pt>
                <c:pt idx="338">
                  <c:v>5.5</c:v>
                </c:pt>
                <c:pt idx="339">
                  <c:v>4</c:v>
                </c:pt>
                <c:pt idx="340">
                  <c:v>7.5</c:v>
                </c:pt>
                <c:pt idx="341">
                  <c:v>3</c:v>
                </c:pt>
                <c:pt idx="342">
                  <c:v>0.5</c:v>
                </c:pt>
                <c:pt idx="343">
                  <c:v>0</c:v>
                </c:pt>
                <c:pt idx="344">
                  <c:v>0.5</c:v>
                </c:pt>
                <c:pt idx="345">
                  <c:v>0</c:v>
                </c:pt>
                <c:pt idx="346">
                  <c:v>1.5</c:v>
                </c:pt>
                <c:pt idx="347">
                  <c:v>0</c:v>
                </c:pt>
                <c:pt idx="348">
                  <c:v>2.5</c:v>
                </c:pt>
                <c:pt idx="349">
                  <c:v>0</c:v>
                </c:pt>
                <c:pt idx="350">
                  <c:v>0</c:v>
                </c:pt>
                <c:pt idx="351">
                  <c:v>2.5</c:v>
                </c:pt>
                <c:pt idx="352">
                  <c:v>0</c:v>
                </c:pt>
                <c:pt idx="353">
                  <c:v>0.5</c:v>
                </c:pt>
                <c:pt idx="354">
                  <c:v>1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0.5</c:v>
                </c:pt>
                <c:pt idx="376">
                  <c:v>5</c:v>
                </c:pt>
                <c:pt idx="377">
                  <c:v>2.5</c:v>
                </c:pt>
                <c:pt idx="378">
                  <c:v>0</c:v>
                </c:pt>
                <c:pt idx="379">
                  <c:v>0.5</c:v>
                </c:pt>
                <c:pt idx="380">
                  <c:v>5</c:v>
                </c:pt>
                <c:pt idx="381">
                  <c:v>0.5</c:v>
                </c:pt>
                <c:pt idx="382">
                  <c:v>0</c:v>
                </c:pt>
                <c:pt idx="383">
                  <c:v>0.5</c:v>
                </c:pt>
                <c:pt idx="384">
                  <c:v>1</c:v>
                </c:pt>
                <c:pt idx="385">
                  <c:v>4.5</c:v>
                </c:pt>
                <c:pt idx="386">
                  <c:v>5</c:v>
                </c:pt>
                <c:pt idx="387">
                  <c:v>1.5</c:v>
                </c:pt>
                <c:pt idx="388">
                  <c:v>0</c:v>
                </c:pt>
                <c:pt idx="389">
                  <c:v>2.5</c:v>
                </c:pt>
                <c:pt idx="390">
                  <c:v>0</c:v>
                </c:pt>
                <c:pt idx="391">
                  <c:v>0.5</c:v>
                </c:pt>
                <c:pt idx="392">
                  <c:v>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4.5</c:v>
                </c:pt>
                <c:pt idx="397">
                  <c:v>1</c:v>
                </c:pt>
                <c:pt idx="398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C1-4670-AF0B-C1B7FBE63D7C}"/>
            </c:ext>
          </c:extLst>
        </c:ser>
        <c:ser>
          <c:idx val="2"/>
          <c:order val="2"/>
          <c:tx>
            <c:strRef>
              <c:f>'n=1'!$H$1</c:f>
              <c:strCache>
                <c:ptCount val="1"/>
                <c:pt idx="0">
                  <c:v>Max deviation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'n=1'!$H$2:$H$400</c:f>
              <c:numCache>
                <c:formatCode>General</c:formatCode>
                <c:ptCount val="39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1-4670-AF0B-C1B7FBE63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092608"/>
        <c:axId val="976093088"/>
      </c:lineChart>
      <c:catAx>
        <c:axId val="976092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6093088"/>
        <c:crosses val="autoZero"/>
        <c:auto val="1"/>
        <c:lblAlgn val="ctr"/>
        <c:lblOffset val="100"/>
        <c:noMultiLvlLbl val="0"/>
      </c:catAx>
      <c:valAx>
        <c:axId val="97609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609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'n=2'!$F$1</c:f>
              <c:strCache>
                <c:ptCount val="1"/>
                <c:pt idx="0">
                  <c:v>C+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'n=2'!$F$2:$F$201</c:f>
              <c:numCache>
                <c:formatCode>General</c:formatCode>
                <c:ptCount val="20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3.5</c:v>
                </c:pt>
                <c:pt idx="8">
                  <c:v>3</c:v>
                </c:pt>
                <c:pt idx="9">
                  <c:v>4</c:v>
                </c:pt>
                <c:pt idx="10">
                  <c:v>3.5</c:v>
                </c:pt>
                <c:pt idx="11">
                  <c:v>5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3</c:v>
                </c:pt>
                <c:pt idx="25">
                  <c:v>4</c:v>
                </c:pt>
                <c:pt idx="26">
                  <c:v>6.5</c:v>
                </c:pt>
                <c:pt idx="27">
                  <c:v>5.5</c:v>
                </c:pt>
                <c:pt idx="28">
                  <c:v>7</c:v>
                </c:pt>
                <c:pt idx="29">
                  <c:v>6</c:v>
                </c:pt>
                <c:pt idx="30">
                  <c:v>5.5</c:v>
                </c:pt>
                <c:pt idx="31">
                  <c:v>6.5</c:v>
                </c:pt>
                <c:pt idx="32">
                  <c:v>6</c:v>
                </c:pt>
                <c:pt idx="33">
                  <c:v>3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0.5</c:v>
                </c:pt>
                <c:pt idx="39">
                  <c:v>2.5</c:v>
                </c:pt>
                <c:pt idx="40">
                  <c:v>1.5</c:v>
                </c:pt>
                <c:pt idx="41">
                  <c:v>0</c:v>
                </c:pt>
                <c:pt idx="42">
                  <c:v>0</c:v>
                </c:pt>
                <c:pt idx="43">
                  <c:v>0.5</c:v>
                </c:pt>
                <c:pt idx="44">
                  <c:v>3</c:v>
                </c:pt>
                <c:pt idx="45">
                  <c:v>4</c:v>
                </c:pt>
                <c:pt idx="46">
                  <c:v>7</c:v>
                </c:pt>
                <c:pt idx="47">
                  <c:v>3.5</c:v>
                </c:pt>
                <c:pt idx="48">
                  <c:v>3.5</c:v>
                </c:pt>
                <c:pt idx="49">
                  <c:v>4</c:v>
                </c:pt>
                <c:pt idx="50">
                  <c:v>4</c:v>
                </c:pt>
                <c:pt idx="51">
                  <c:v>2.5</c:v>
                </c:pt>
                <c:pt idx="52">
                  <c:v>0</c:v>
                </c:pt>
                <c:pt idx="53">
                  <c:v>0.5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3.5</c:v>
                </c:pt>
                <c:pt idx="59">
                  <c:v>4</c:v>
                </c:pt>
                <c:pt idx="60">
                  <c:v>2.5</c:v>
                </c:pt>
                <c:pt idx="61">
                  <c:v>3</c:v>
                </c:pt>
                <c:pt idx="62">
                  <c:v>5</c:v>
                </c:pt>
                <c:pt idx="63">
                  <c:v>6.5</c:v>
                </c:pt>
                <c:pt idx="64">
                  <c:v>8</c:v>
                </c:pt>
                <c:pt idx="65">
                  <c:v>5</c:v>
                </c:pt>
                <c:pt idx="66">
                  <c:v>5.5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3.5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</c:v>
                </c:pt>
                <c:pt idx="83">
                  <c:v>6</c:v>
                </c:pt>
                <c:pt idx="84">
                  <c:v>4</c:v>
                </c:pt>
                <c:pt idx="85">
                  <c:v>3</c:v>
                </c:pt>
                <c:pt idx="86">
                  <c:v>6</c:v>
                </c:pt>
                <c:pt idx="87">
                  <c:v>7.5</c:v>
                </c:pt>
                <c:pt idx="88">
                  <c:v>10</c:v>
                </c:pt>
                <c:pt idx="89">
                  <c:v>9</c:v>
                </c:pt>
                <c:pt idx="90">
                  <c:v>5</c:v>
                </c:pt>
                <c:pt idx="91">
                  <c:v>1.5</c:v>
                </c:pt>
                <c:pt idx="92">
                  <c:v>0.5</c:v>
                </c:pt>
                <c:pt idx="93">
                  <c:v>5</c:v>
                </c:pt>
                <c:pt idx="94">
                  <c:v>5</c:v>
                </c:pt>
                <c:pt idx="95">
                  <c:v>3.5</c:v>
                </c:pt>
                <c:pt idx="96">
                  <c:v>6</c:v>
                </c:pt>
                <c:pt idx="97">
                  <c:v>4.5</c:v>
                </c:pt>
                <c:pt idx="98">
                  <c:v>4</c:v>
                </c:pt>
                <c:pt idx="99">
                  <c:v>3.5</c:v>
                </c:pt>
                <c:pt idx="100">
                  <c:v>3.5</c:v>
                </c:pt>
                <c:pt idx="101">
                  <c:v>4</c:v>
                </c:pt>
                <c:pt idx="102">
                  <c:v>4.5</c:v>
                </c:pt>
                <c:pt idx="103">
                  <c:v>7</c:v>
                </c:pt>
                <c:pt idx="104">
                  <c:v>8</c:v>
                </c:pt>
                <c:pt idx="105">
                  <c:v>8.5</c:v>
                </c:pt>
                <c:pt idx="106">
                  <c:v>9</c:v>
                </c:pt>
                <c:pt idx="107">
                  <c:v>7.5</c:v>
                </c:pt>
                <c:pt idx="108">
                  <c:v>6.5</c:v>
                </c:pt>
                <c:pt idx="109">
                  <c:v>8</c:v>
                </c:pt>
                <c:pt idx="110">
                  <c:v>10.5</c:v>
                </c:pt>
                <c:pt idx="111">
                  <c:v>8.5</c:v>
                </c:pt>
                <c:pt idx="112">
                  <c:v>11</c:v>
                </c:pt>
                <c:pt idx="113">
                  <c:v>6.5</c:v>
                </c:pt>
                <c:pt idx="114">
                  <c:v>4.5</c:v>
                </c:pt>
                <c:pt idx="115">
                  <c:v>4</c:v>
                </c:pt>
                <c:pt idx="116">
                  <c:v>5</c:v>
                </c:pt>
                <c:pt idx="117">
                  <c:v>6.5</c:v>
                </c:pt>
                <c:pt idx="118">
                  <c:v>4.5</c:v>
                </c:pt>
                <c:pt idx="119">
                  <c:v>3.5</c:v>
                </c:pt>
                <c:pt idx="120">
                  <c:v>4.5</c:v>
                </c:pt>
                <c:pt idx="121">
                  <c:v>3</c:v>
                </c:pt>
                <c:pt idx="122">
                  <c:v>4</c:v>
                </c:pt>
                <c:pt idx="123">
                  <c:v>7.5</c:v>
                </c:pt>
                <c:pt idx="124">
                  <c:v>8.5</c:v>
                </c:pt>
                <c:pt idx="125">
                  <c:v>9.5</c:v>
                </c:pt>
                <c:pt idx="126">
                  <c:v>13.5</c:v>
                </c:pt>
                <c:pt idx="127">
                  <c:v>14</c:v>
                </c:pt>
                <c:pt idx="128">
                  <c:v>20</c:v>
                </c:pt>
                <c:pt idx="129">
                  <c:v>21</c:v>
                </c:pt>
                <c:pt idx="130">
                  <c:v>20</c:v>
                </c:pt>
                <c:pt idx="131">
                  <c:v>24.5</c:v>
                </c:pt>
                <c:pt idx="132">
                  <c:v>27</c:v>
                </c:pt>
                <c:pt idx="133">
                  <c:v>25.5</c:v>
                </c:pt>
                <c:pt idx="134">
                  <c:v>23</c:v>
                </c:pt>
                <c:pt idx="135">
                  <c:v>20</c:v>
                </c:pt>
                <c:pt idx="136">
                  <c:v>20</c:v>
                </c:pt>
                <c:pt idx="137">
                  <c:v>22</c:v>
                </c:pt>
                <c:pt idx="138">
                  <c:v>24</c:v>
                </c:pt>
                <c:pt idx="139">
                  <c:v>24.5</c:v>
                </c:pt>
                <c:pt idx="140">
                  <c:v>21</c:v>
                </c:pt>
                <c:pt idx="141">
                  <c:v>24.5</c:v>
                </c:pt>
                <c:pt idx="142">
                  <c:v>23.5</c:v>
                </c:pt>
                <c:pt idx="143">
                  <c:v>26.5</c:v>
                </c:pt>
                <c:pt idx="144">
                  <c:v>31</c:v>
                </c:pt>
                <c:pt idx="145">
                  <c:v>27.5</c:v>
                </c:pt>
                <c:pt idx="146">
                  <c:v>30.5</c:v>
                </c:pt>
                <c:pt idx="147">
                  <c:v>35.5</c:v>
                </c:pt>
                <c:pt idx="148">
                  <c:v>37</c:v>
                </c:pt>
                <c:pt idx="149">
                  <c:v>40</c:v>
                </c:pt>
                <c:pt idx="150">
                  <c:v>40</c:v>
                </c:pt>
                <c:pt idx="151">
                  <c:v>36</c:v>
                </c:pt>
                <c:pt idx="152">
                  <c:v>37.5</c:v>
                </c:pt>
                <c:pt idx="153">
                  <c:v>37.5</c:v>
                </c:pt>
                <c:pt idx="154">
                  <c:v>36</c:v>
                </c:pt>
                <c:pt idx="155">
                  <c:v>35</c:v>
                </c:pt>
                <c:pt idx="156">
                  <c:v>34</c:v>
                </c:pt>
                <c:pt idx="157">
                  <c:v>37.5</c:v>
                </c:pt>
                <c:pt idx="158">
                  <c:v>37.5</c:v>
                </c:pt>
                <c:pt idx="159">
                  <c:v>34.5</c:v>
                </c:pt>
                <c:pt idx="160">
                  <c:v>38</c:v>
                </c:pt>
                <c:pt idx="161">
                  <c:v>42</c:v>
                </c:pt>
                <c:pt idx="162">
                  <c:v>42</c:v>
                </c:pt>
                <c:pt idx="163">
                  <c:v>39</c:v>
                </c:pt>
                <c:pt idx="164">
                  <c:v>35.5</c:v>
                </c:pt>
                <c:pt idx="165">
                  <c:v>35</c:v>
                </c:pt>
                <c:pt idx="166">
                  <c:v>35</c:v>
                </c:pt>
                <c:pt idx="167">
                  <c:v>33</c:v>
                </c:pt>
                <c:pt idx="168">
                  <c:v>31</c:v>
                </c:pt>
                <c:pt idx="169">
                  <c:v>33</c:v>
                </c:pt>
                <c:pt idx="170">
                  <c:v>32.5</c:v>
                </c:pt>
                <c:pt idx="171">
                  <c:v>33</c:v>
                </c:pt>
                <c:pt idx="172">
                  <c:v>34</c:v>
                </c:pt>
                <c:pt idx="173">
                  <c:v>34</c:v>
                </c:pt>
                <c:pt idx="174">
                  <c:v>33.5</c:v>
                </c:pt>
                <c:pt idx="175">
                  <c:v>35</c:v>
                </c:pt>
                <c:pt idx="176">
                  <c:v>35.5</c:v>
                </c:pt>
                <c:pt idx="177">
                  <c:v>37</c:v>
                </c:pt>
                <c:pt idx="178">
                  <c:v>39</c:v>
                </c:pt>
                <c:pt idx="179">
                  <c:v>41</c:v>
                </c:pt>
                <c:pt idx="180">
                  <c:v>43</c:v>
                </c:pt>
                <c:pt idx="181">
                  <c:v>46.5</c:v>
                </c:pt>
                <c:pt idx="182">
                  <c:v>48.5</c:v>
                </c:pt>
                <c:pt idx="183">
                  <c:v>51.5</c:v>
                </c:pt>
                <c:pt idx="184">
                  <c:v>53.5</c:v>
                </c:pt>
                <c:pt idx="185">
                  <c:v>59</c:v>
                </c:pt>
                <c:pt idx="186">
                  <c:v>61</c:v>
                </c:pt>
                <c:pt idx="187">
                  <c:v>61</c:v>
                </c:pt>
                <c:pt idx="188">
                  <c:v>59</c:v>
                </c:pt>
                <c:pt idx="189">
                  <c:v>61.5</c:v>
                </c:pt>
                <c:pt idx="190">
                  <c:v>60.5</c:v>
                </c:pt>
                <c:pt idx="191">
                  <c:v>63.5</c:v>
                </c:pt>
                <c:pt idx="192">
                  <c:v>60.5</c:v>
                </c:pt>
                <c:pt idx="193">
                  <c:v>61</c:v>
                </c:pt>
                <c:pt idx="194">
                  <c:v>61</c:v>
                </c:pt>
                <c:pt idx="195">
                  <c:v>61.5</c:v>
                </c:pt>
                <c:pt idx="196">
                  <c:v>63.5</c:v>
                </c:pt>
                <c:pt idx="197">
                  <c:v>65</c:v>
                </c:pt>
                <c:pt idx="198">
                  <c:v>63.5</c:v>
                </c:pt>
                <c:pt idx="199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7-49C4-9B36-C8613A048A80}"/>
            </c:ext>
          </c:extLst>
        </c:ser>
        <c:ser>
          <c:idx val="1"/>
          <c:order val="1"/>
          <c:tx>
            <c:strRef>
              <c:f>'n=2'!$G$1</c:f>
              <c:strCache>
                <c:ptCount val="1"/>
                <c:pt idx="0">
                  <c:v>C-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'n=2'!$G$2:$G$201</c:f>
              <c:numCache>
                <c:formatCode>General</c:formatCode>
                <c:ptCount val="200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3.5</c:v>
                </c:pt>
                <c:pt idx="17">
                  <c:v>4</c:v>
                </c:pt>
                <c:pt idx="18">
                  <c:v>4</c:v>
                </c:pt>
                <c:pt idx="19">
                  <c:v>3.5</c:v>
                </c:pt>
                <c:pt idx="20">
                  <c:v>4</c:v>
                </c:pt>
                <c:pt idx="21">
                  <c:v>4</c:v>
                </c:pt>
                <c:pt idx="22">
                  <c:v>2</c:v>
                </c:pt>
                <c:pt idx="23">
                  <c:v>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</c:v>
                </c:pt>
                <c:pt idx="34">
                  <c:v>4</c:v>
                </c:pt>
                <c:pt idx="35">
                  <c:v>2</c:v>
                </c:pt>
                <c:pt idx="36">
                  <c:v>5</c:v>
                </c:pt>
                <c:pt idx="37">
                  <c:v>4.5</c:v>
                </c:pt>
                <c:pt idx="38">
                  <c:v>3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2.5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2.5</c:v>
                </c:pt>
                <c:pt idx="48">
                  <c:v>1.5</c:v>
                </c:pt>
                <c:pt idx="49">
                  <c:v>0</c:v>
                </c:pt>
                <c:pt idx="50">
                  <c:v>0</c:v>
                </c:pt>
                <c:pt idx="51">
                  <c:v>0.5</c:v>
                </c:pt>
                <c:pt idx="52">
                  <c:v>3</c:v>
                </c:pt>
                <c:pt idx="53">
                  <c:v>1.5</c:v>
                </c:pt>
                <c:pt idx="54">
                  <c:v>2</c:v>
                </c:pt>
                <c:pt idx="55">
                  <c:v>2</c:v>
                </c:pt>
                <c:pt idx="56">
                  <c:v>0</c:v>
                </c:pt>
                <c:pt idx="57">
                  <c:v>2</c:v>
                </c:pt>
                <c:pt idx="58">
                  <c:v>0</c:v>
                </c:pt>
                <c:pt idx="59">
                  <c:v>0</c:v>
                </c:pt>
                <c:pt idx="60">
                  <c:v>0.5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</c:v>
                </c:pt>
                <c:pt idx="66">
                  <c:v>0.5</c:v>
                </c:pt>
                <c:pt idx="67">
                  <c:v>4</c:v>
                </c:pt>
                <c:pt idx="68">
                  <c:v>3</c:v>
                </c:pt>
                <c:pt idx="69">
                  <c:v>6</c:v>
                </c:pt>
                <c:pt idx="70">
                  <c:v>4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0.5</c:v>
                </c:pt>
                <c:pt idx="75">
                  <c:v>3</c:v>
                </c:pt>
                <c:pt idx="76">
                  <c:v>2.5</c:v>
                </c:pt>
                <c:pt idx="77">
                  <c:v>3</c:v>
                </c:pt>
                <c:pt idx="78">
                  <c:v>5.5</c:v>
                </c:pt>
                <c:pt idx="79">
                  <c:v>5</c:v>
                </c:pt>
                <c:pt idx="80">
                  <c:v>4</c:v>
                </c:pt>
                <c:pt idx="81">
                  <c:v>4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3</c:v>
                </c:pt>
                <c:pt idx="91">
                  <c:v>5.5</c:v>
                </c:pt>
                <c:pt idx="92">
                  <c:v>5.5</c:v>
                </c:pt>
                <c:pt idx="93">
                  <c:v>0</c:v>
                </c:pt>
                <c:pt idx="94">
                  <c:v>0</c:v>
                </c:pt>
                <c:pt idx="95">
                  <c:v>0.5</c:v>
                </c:pt>
                <c:pt idx="96">
                  <c:v>0</c:v>
                </c:pt>
                <c:pt idx="97">
                  <c:v>0.5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0.5</c:v>
                </c:pt>
                <c:pt idx="108">
                  <c:v>0.5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3.5</c:v>
                </c:pt>
                <c:pt idx="114">
                  <c:v>4.5</c:v>
                </c:pt>
                <c:pt idx="115">
                  <c:v>4</c:v>
                </c:pt>
                <c:pt idx="116">
                  <c:v>2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0.5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0.5</c:v>
                </c:pt>
                <c:pt idx="134">
                  <c:v>2</c:v>
                </c:pt>
                <c:pt idx="135">
                  <c:v>4</c:v>
                </c:pt>
                <c:pt idx="136">
                  <c:v>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2.5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2.5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3</c:v>
                </c:pt>
                <c:pt idx="152">
                  <c:v>0.5</c:v>
                </c:pt>
                <c:pt idx="153">
                  <c:v>0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</c:v>
                </c:pt>
                <c:pt idx="158">
                  <c:v>0</c:v>
                </c:pt>
                <c:pt idx="159">
                  <c:v>2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2</c:v>
                </c:pt>
                <c:pt idx="164">
                  <c:v>4.5</c:v>
                </c:pt>
                <c:pt idx="165">
                  <c:v>4</c:v>
                </c:pt>
                <c:pt idx="166">
                  <c:v>3</c:v>
                </c:pt>
                <c:pt idx="167">
                  <c:v>4</c:v>
                </c:pt>
                <c:pt idx="168">
                  <c:v>5</c:v>
                </c:pt>
                <c:pt idx="169">
                  <c:v>2</c:v>
                </c:pt>
                <c:pt idx="170">
                  <c:v>1.5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2</c:v>
                </c:pt>
                <c:pt idx="193">
                  <c:v>0.5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0.5</c:v>
                </c:pt>
                <c:pt idx="19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57-49C4-9B36-C8613A048A80}"/>
            </c:ext>
          </c:extLst>
        </c:ser>
        <c:ser>
          <c:idx val="2"/>
          <c:order val="2"/>
          <c:tx>
            <c:strRef>
              <c:f>'n=2'!$H$1</c:f>
              <c:strCache>
                <c:ptCount val="1"/>
                <c:pt idx="0">
                  <c:v>Max deviation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'n=2'!$H$2:$H$201</c:f>
              <c:numCache>
                <c:formatCode>General</c:formatCode>
                <c:ptCount val="20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57-49C4-9B36-C8613A048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6615152"/>
        <c:axId val="1097183680"/>
      </c:lineChart>
      <c:catAx>
        <c:axId val="89661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7183680"/>
        <c:crosses val="autoZero"/>
        <c:auto val="1"/>
        <c:lblAlgn val="ctr"/>
        <c:lblOffset val="100"/>
        <c:noMultiLvlLbl val="0"/>
      </c:catAx>
      <c:valAx>
        <c:axId val="109718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661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'n=2'!$C$1</c:f>
              <c:strCache>
                <c:ptCount val="1"/>
                <c:pt idx="0">
                  <c:v>CUMSUM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'n=2'!$C$2:$C$201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2.5</c:v>
                </c:pt>
                <c:pt idx="4">
                  <c:v>2.5</c:v>
                </c:pt>
                <c:pt idx="5">
                  <c:v>3</c:v>
                </c:pt>
                <c:pt idx="6">
                  <c:v>5.5</c:v>
                </c:pt>
                <c:pt idx="7">
                  <c:v>7.5</c:v>
                </c:pt>
                <c:pt idx="8">
                  <c:v>7.5</c:v>
                </c:pt>
                <c:pt idx="9">
                  <c:v>9</c:v>
                </c:pt>
                <c:pt idx="10">
                  <c:v>9</c:v>
                </c:pt>
                <c:pt idx="11">
                  <c:v>11</c:v>
                </c:pt>
                <c:pt idx="12">
                  <c:v>8.5</c:v>
                </c:pt>
                <c:pt idx="13">
                  <c:v>7</c:v>
                </c:pt>
                <c:pt idx="14">
                  <c:v>6.5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3.5</c:v>
                </c:pt>
                <c:pt idx="19">
                  <c:v>3.5</c:v>
                </c:pt>
                <c:pt idx="20">
                  <c:v>2.5</c:v>
                </c:pt>
                <c:pt idx="21">
                  <c:v>2</c:v>
                </c:pt>
                <c:pt idx="22">
                  <c:v>3.5</c:v>
                </c:pt>
                <c:pt idx="23">
                  <c:v>1</c:v>
                </c:pt>
                <c:pt idx="24">
                  <c:v>4.5</c:v>
                </c:pt>
                <c:pt idx="25">
                  <c:v>6</c:v>
                </c:pt>
                <c:pt idx="26">
                  <c:v>9</c:v>
                </c:pt>
                <c:pt idx="27">
                  <c:v>8.5</c:v>
                </c:pt>
                <c:pt idx="28">
                  <c:v>10.5</c:v>
                </c:pt>
                <c:pt idx="29">
                  <c:v>10</c:v>
                </c:pt>
                <c:pt idx="30">
                  <c:v>10</c:v>
                </c:pt>
                <c:pt idx="31">
                  <c:v>11.5</c:v>
                </c:pt>
                <c:pt idx="32">
                  <c:v>11.5</c:v>
                </c:pt>
                <c:pt idx="33">
                  <c:v>9</c:v>
                </c:pt>
                <c:pt idx="34">
                  <c:v>6.5</c:v>
                </c:pt>
                <c:pt idx="35">
                  <c:v>8</c:v>
                </c:pt>
                <c:pt idx="36">
                  <c:v>4.5</c:v>
                </c:pt>
                <c:pt idx="37">
                  <c:v>4.5</c:v>
                </c:pt>
                <c:pt idx="38">
                  <c:v>5.5</c:v>
                </c:pt>
                <c:pt idx="39">
                  <c:v>8</c:v>
                </c:pt>
                <c:pt idx="40">
                  <c:v>7.5</c:v>
                </c:pt>
                <c:pt idx="41">
                  <c:v>6</c:v>
                </c:pt>
                <c:pt idx="42">
                  <c:v>4</c:v>
                </c:pt>
                <c:pt idx="43">
                  <c:v>5</c:v>
                </c:pt>
                <c:pt idx="44">
                  <c:v>8</c:v>
                </c:pt>
                <c:pt idx="45">
                  <c:v>9.5</c:v>
                </c:pt>
                <c:pt idx="46">
                  <c:v>13</c:v>
                </c:pt>
                <c:pt idx="47">
                  <c:v>10</c:v>
                </c:pt>
                <c:pt idx="48">
                  <c:v>10.5</c:v>
                </c:pt>
                <c:pt idx="49">
                  <c:v>11.5</c:v>
                </c:pt>
                <c:pt idx="50">
                  <c:v>12</c:v>
                </c:pt>
                <c:pt idx="51">
                  <c:v>11</c:v>
                </c:pt>
                <c:pt idx="52">
                  <c:v>8</c:v>
                </c:pt>
                <c:pt idx="53">
                  <c:v>9</c:v>
                </c:pt>
                <c:pt idx="54">
                  <c:v>8</c:v>
                </c:pt>
                <c:pt idx="55">
                  <c:v>7.5</c:v>
                </c:pt>
                <c:pt idx="56">
                  <c:v>9</c:v>
                </c:pt>
                <c:pt idx="57">
                  <c:v>6.5</c:v>
                </c:pt>
                <c:pt idx="58">
                  <c:v>10.5</c:v>
                </c:pt>
                <c:pt idx="59">
                  <c:v>11.5</c:v>
                </c:pt>
                <c:pt idx="60">
                  <c:v>10.5</c:v>
                </c:pt>
                <c:pt idx="61">
                  <c:v>11.5</c:v>
                </c:pt>
                <c:pt idx="62">
                  <c:v>14</c:v>
                </c:pt>
                <c:pt idx="63">
                  <c:v>16</c:v>
                </c:pt>
                <c:pt idx="64">
                  <c:v>18</c:v>
                </c:pt>
                <c:pt idx="65">
                  <c:v>15.5</c:v>
                </c:pt>
                <c:pt idx="66">
                  <c:v>16.5</c:v>
                </c:pt>
                <c:pt idx="67">
                  <c:v>12.5</c:v>
                </c:pt>
                <c:pt idx="68">
                  <c:v>13</c:v>
                </c:pt>
                <c:pt idx="69">
                  <c:v>9.5</c:v>
                </c:pt>
                <c:pt idx="70">
                  <c:v>11</c:v>
                </c:pt>
                <c:pt idx="71">
                  <c:v>13.5</c:v>
                </c:pt>
                <c:pt idx="72">
                  <c:v>15</c:v>
                </c:pt>
                <c:pt idx="73">
                  <c:v>15</c:v>
                </c:pt>
                <c:pt idx="74">
                  <c:v>14</c:v>
                </c:pt>
                <c:pt idx="75">
                  <c:v>11</c:v>
                </c:pt>
                <c:pt idx="76">
                  <c:v>11</c:v>
                </c:pt>
                <c:pt idx="77">
                  <c:v>10</c:v>
                </c:pt>
                <c:pt idx="78">
                  <c:v>7</c:v>
                </c:pt>
                <c:pt idx="79">
                  <c:v>7</c:v>
                </c:pt>
                <c:pt idx="80">
                  <c:v>7.5</c:v>
                </c:pt>
                <c:pt idx="81">
                  <c:v>7</c:v>
                </c:pt>
                <c:pt idx="82">
                  <c:v>10.5</c:v>
                </c:pt>
                <c:pt idx="83">
                  <c:v>14</c:v>
                </c:pt>
                <c:pt idx="84">
                  <c:v>12.5</c:v>
                </c:pt>
                <c:pt idx="85">
                  <c:v>12</c:v>
                </c:pt>
                <c:pt idx="86">
                  <c:v>15.5</c:v>
                </c:pt>
                <c:pt idx="87">
                  <c:v>17.5</c:v>
                </c:pt>
                <c:pt idx="88">
                  <c:v>20.5</c:v>
                </c:pt>
                <c:pt idx="89">
                  <c:v>20</c:v>
                </c:pt>
                <c:pt idx="90">
                  <c:v>16.5</c:v>
                </c:pt>
                <c:pt idx="91">
                  <c:v>13.5</c:v>
                </c:pt>
                <c:pt idx="92">
                  <c:v>13</c:v>
                </c:pt>
                <c:pt idx="93">
                  <c:v>18</c:v>
                </c:pt>
                <c:pt idx="94">
                  <c:v>18.5</c:v>
                </c:pt>
                <c:pt idx="95">
                  <c:v>17.5</c:v>
                </c:pt>
                <c:pt idx="96">
                  <c:v>20.5</c:v>
                </c:pt>
                <c:pt idx="97">
                  <c:v>19.5</c:v>
                </c:pt>
                <c:pt idx="98">
                  <c:v>19.5</c:v>
                </c:pt>
                <c:pt idx="99">
                  <c:v>19.5</c:v>
                </c:pt>
                <c:pt idx="100">
                  <c:v>20</c:v>
                </c:pt>
                <c:pt idx="101">
                  <c:v>21</c:v>
                </c:pt>
                <c:pt idx="102">
                  <c:v>22</c:v>
                </c:pt>
                <c:pt idx="103">
                  <c:v>25</c:v>
                </c:pt>
                <c:pt idx="104">
                  <c:v>26.5</c:v>
                </c:pt>
                <c:pt idx="105">
                  <c:v>27.5</c:v>
                </c:pt>
                <c:pt idx="106">
                  <c:v>28.5</c:v>
                </c:pt>
                <c:pt idx="107">
                  <c:v>27.5</c:v>
                </c:pt>
                <c:pt idx="108">
                  <c:v>27</c:v>
                </c:pt>
                <c:pt idx="109">
                  <c:v>29</c:v>
                </c:pt>
                <c:pt idx="110">
                  <c:v>32</c:v>
                </c:pt>
                <c:pt idx="111">
                  <c:v>30.5</c:v>
                </c:pt>
                <c:pt idx="112">
                  <c:v>33.5</c:v>
                </c:pt>
                <c:pt idx="113">
                  <c:v>29.5</c:v>
                </c:pt>
                <c:pt idx="114">
                  <c:v>28</c:v>
                </c:pt>
                <c:pt idx="115">
                  <c:v>28</c:v>
                </c:pt>
                <c:pt idx="116">
                  <c:v>29.5</c:v>
                </c:pt>
                <c:pt idx="117">
                  <c:v>31.5</c:v>
                </c:pt>
                <c:pt idx="118">
                  <c:v>30</c:v>
                </c:pt>
                <c:pt idx="119">
                  <c:v>29.5</c:v>
                </c:pt>
                <c:pt idx="120">
                  <c:v>31</c:v>
                </c:pt>
                <c:pt idx="121">
                  <c:v>30</c:v>
                </c:pt>
                <c:pt idx="122">
                  <c:v>31.5</c:v>
                </c:pt>
                <c:pt idx="123">
                  <c:v>35.5</c:v>
                </c:pt>
                <c:pt idx="124">
                  <c:v>37</c:v>
                </c:pt>
                <c:pt idx="125">
                  <c:v>38.5</c:v>
                </c:pt>
                <c:pt idx="126">
                  <c:v>43</c:v>
                </c:pt>
                <c:pt idx="127">
                  <c:v>44</c:v>
                </c:pt>
                <c:pt idx="128">
                  <c:v>50.5</c:v>
                </c:pt>
                <c:pt idx="129">
                  <c:v>52</c:v>
                </c:pt>
                <c:pt idx="130">
                  <c:v>51.5</c:v>
                </c:pt>
                <c:pt idx="131">
                  <c:v>56.5</c:v>
                </c:pt>
                <c:pt idx="132">
                  <c:v>59.5</c:v>
                </c:pt>
                <c:pt idx="133">
                  <c:v>58.5</c:v>
                </c:pt>
                <c:pt idx="134">
                  <c:v>56.5</c:v>
                </c:pt>
                <c:pt idx="135">
                  <c:v>54</c:v>
                </c:pt>
                <c:pt idx="136">
                  <c:v>54.5</c:v>
                </c:pt>
                <c:pt idx="137">
                  <c:v>57</c:v>
                </c:pt>
                <c:pt idx="138">
                  <c:v>59.5</c:v>
                </c:pt>
                <c:pt idx="139">
                  <c:v>60.5</c:v>
                </c:pt>
                <c:pt idx="140">
                  <c:v>57.5</c:v>
                </c:pt>
                <c:pt idx="141">
                  <c:v>61.5</c:v>
                </c:pt>
                <c:pt idx="142">
                  <c:v>61</c:v>
                </c:pt>
                <c:pt idx="143">
                  <c:v>64.5</c:v>
                </c:pt>
                <c:pt idx="144">
                  <c:v>69.5</c:v>
                </c:pt>
                <c:pt idx="145">
                  <c:v>66.5</c:v>
                </c:pt>
                <c:pt idx="146">
                  <c:v>70</c:v>
                </c:pt>
                <c:pt idx="147">
                  <c:v>75.5</c:v>
                </c:pt>
                <c:pt idx="148">
                  <c:v>77.5</c:v>
                </c:pt>
                <c:pt idx="149">
                  <c:v>81</c:v>
                </c:pt>
                <c:pt idx="150">
                  <c:v>81.5</c:v>
                </c:pt>
                <c:pt idx="151">
                  <c:v>78</c:v>
                </c:pt>
                <c:pt idx="152">
                  <c:v>80</c:v>
                </c:pt>
                <c:pt idx="153">
                  <c:v>80.5</c:v>
                </c:pt>
                <c:pt idx="154">
                  <c:v>79.5</c:v>
                </c:pt>
                <c:pt idx="155">
                  <c:v>79</c:v>
                </c:pt>
                <c:pt idx="156">
                  <c:v>78.5</c:v>
                </c:pt>
                <c:pt idx="157">
                  <c:v>82.5</c:v>
                </c:pt>
                <c:pt idx="158">
                  <c:v>83</c:v>
                </c:pt>
                <c:pt idx="159">
                  <c:v>80.5</c:v>
                </c:pt>
                <c:pt idx="160">
                  <c:v>84.5</c:v>
                </c:pt>
                <c:pt idx="161">
                  <c:v>89</c:v>
                </c:pt>
                <c:pt idx="162">
                  <c:v>89.5</c:v>
                </c:pt>
                <c:pt idx="163">
                  <c:v>87</c:v>
                </c:pt>
                <c:pt idx="164">
                  <c:v>84</c:v>
                </c:pt>
                <c:pt idx="165">
                  <c:v>84</c:v>
                </c:pt>
                <c:pt idx="166">
                  <c:v>84.5</c:v>
                </c:pt>
                <c:pt idx="167">
                  <c:v>83</c:v>
                </c:pt>
                <c:pt idx="168">
                  <c:v>81.5</c:v>
                </c:pt>
                <c:pt idx="169">
                  <c:v>84</c:v>
                </c:pt>
                <c:pt idx="170">
                  <c:v>84</c:v>
                </c:pt>
                <c:pt idx="171">
                  <c:v>85</c:v>
                </c:pt>
                <c:pt idx="172">
                  <c:v>86.5</c:v>
                </c:pt>
                <c:pt idx="173">
                  <c:v>87</c:v>
                </c:pt>
                <c:pt idx="174">
                  <c:v>87</c:v>
                </c:pt>
                <c:pt idx="175">
                  <c:v>89</c:v>
                </c:pt>
                <c:pt idx="176">
                  <c:v>90</c:v>
                </c:pt>
                <c:pt idx="177">
                  <c:v>92</c:v>
                </c:pt>
                <c:pt idx="178">
                  <c:v>94.5</c:v>
                </c:pt>
                <c:pt idx="179">
                  <c:v>97</c:v>
                </c:pt>
                <c:pt idx="180">
                  <c:v>99.5</c:v>
                </c:pt>
                <c:pt idx="181">
                  <c:v>103.5</c:v>
                </c:pt>
                <c:pt idx="182">
                  <c:v>106</c:v>
                </c:pt>
                <c:pt idx="183">
                  <c:v>109.5</c:v>
                </c:pt>
                <c:pt idx="184">
                  <c:v>112</c:v>
                </c:pt>
                <c:pt idx="185">
                  <c:v>118</c:v>
                </c:pt>
                <c:pt idx="186">
                  <c:v>120.5</c:v>
                </c:pt>
                <c:pt idx="187">
                  <c:v>121</c:v>
                </c:pt>
                <c:pt idx="188">
                  <c:v>119.5</c:v>
                </c:pt>
                <c:pt idx="189">
                  <c:v>122.5</c:v>
                </c:pt>
                <c:pt idx="190">
                  <c:v>122</c:v>
                </c:pt>
                <c:pt idx="191">
                  <c:v>125.5</c:v>
                </c:pt>
                <c:pt idx="192">
                  <c:v>123</c:v>
                </c:pt>
                <c:pt idx="193">
                  <c:v>124</c:v>
                </c:pt>
                <c:pt idx="194">
                  <c:v>124.5</c:v>
                </c:pt>
                <c:pt idx="195">
                  <c:v>125.5</c:v>
                </c:pt>
                <c:pt idx="196">
                  <c:v>128</c:v>
                </c:pt>
                <c:pt idx="197">
                  <c:v>130</c:v>
                </c:pt>
                <c:pt idx="198">
                  <c:v>129</c:v>
                </c:pt>
                <c:pt idx="199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74-4EB7-BFD2-03568C4EEB8A}"/>
            </c:ext>
          </c:extLst>
        </c:ser>
        <c:ser>
          <c:idx val="1"/>
          <c:order val="1"/>
          <c:tx>
            <c:strRef>
              <c:f>'n=2'!$D$1</c:f>
              <c:strCache>
                <c:ptCount val="1"/>
                <c:pt idx="0">
                  <c:v>V Lower arm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'n=2'!$D$2:$D$201</c:f>
              <c:numCache>
                <c:formatCode>General</c:formatCode>
                <c:ptCount val="200"/>
                <c:pt idx="0">
                  <c:v>21.5</c:v>
                </c:pt>
                <c:pt idx="1">
                  <c:v>22</c:v>
                </c:pt>
                <c:pt idx="2">
                  <c:v>22.5</c:v>
                </c:pt>
                <c:pt idx="3">
                  <c:v>23</c:v>
                </c:pt>
                <c:pt idx="4">
                  <c:v>23.5</c:v>
                </c:pt>
                <c:pt idx="5">
                  <c:v>24</c:v>
                </c:pt>
                <c:pt idx="6">
                  <c:v>24.5</c:v>
                </c:pt>
                <c:pt idx="7">
                  <c:v>25</c:v>
                </c:pt>
                <c:pt idx="8">
                  <c:v>25.5</c:v>
                </c:pt>
                <c:pt idx="9">
                  <c:v>26</c:v>
                </c:pt>
                <c:pt idx="10">
                  <c:v>26.5</c:v>
                </c:pt>
                <c:pt idx="11">
                  <c:v>27</c:v>
                </c:pt>
                <c:pt idx="12">
                  <c:v>27.5</c:v>
                </c:pt>
                <c:pt idx="13">
                  <c:v>28</c:v>
                </c:pt>
                <c:pt idx="14">
                  <c:v>28.5</c:v>
                </c:pt>
                <c:pt idx="15">
                  <c:v>29</c:v>
                </c:pt>
                <c:pt idx="16">
                  <c:v>29.5</c:v>
                </c:pt>
                <c:pt idx="17">
                  <c:v>30</c:v>
                </c:pt>
                <c:pt idx="18">
                  <c:v>30.5</c:v>
                </c:pt>
                <c:pt idx="19">
                  <c:v>31</c:v>
                </c:pt>
                <c:pt idx="20">
                  <c:v>31.5</c:v>
                </c:pt>
                <c:pt idx="21">
                  <c:v>32</c:v>
                </c:pt>
                <c:pt idx="22">
                  <c:v>32.5</c:v>
                </c:pt>
                <c:pt idx="23">
                  <c:v>33</c:v>
                </c:pt>
                <c:pt idx="24">
                  <c:v>33.5</c:v>
                </c:pt>
                <c:pt idx="25">
                  <c:v>34</c:v>
                </c:pt>
                <c:pt idx="26">
                  <c:v>34.5</c:v>
                </c:pt>
                <c:pt idx="27">
                  <c:v>35</c:v>
                </c:pt>
                <c:pt idx="28">
                  <c:v>35.5</c:v>
                </c:pt>
                <c:pt idx="29">
                  <c:v>36</c:v>
                </c:pt>
                <c:pt idx="30">
                  <c:v>36.5</c:v>
                </c:pt>
                <c:pt idx="31">
                  <c:v>37</c:v>
                </c:pt>
                <c:pt idx="32">
                  <c:v>37.5</c:v>
                </c:pt>
                <c:pt idx="33">
                  <c:v>38</c:v>
                </c:pt>
                <c:pt idx="34">
                  <c:v>38.5</c:v>
                </c:pt>
                <c:pt idx="35">
                  <c:v>39</c:v>
                </c:pt>
                <c:pt idx="36">
                  <c:v>39.5</c:v>
                </c:pt>
                <c:pt idx="37">
                  <c:v>40</c:v>
                </c:pt>
                <c:pt idx="38">
                  <c:v>40.5</c:v>
                </c:pt>
                <c:pt idx="39">
                  <c:v>41</c:v>
                </c:pt>
                <c:pt idx="40">
                  <c:v>41.5</c:v>
                </c:pt>
                <c:pt idx="41">
                  <c:v>42</c:v>
                </c:pt>
                <c:pt idx="42">
                  <c:v>42.5</c:v>
                </c:pt>
                <c:pt idx="43">
                  <c:v>43</c:v>
                </c:pt>
                <c:pt idx="44">
                  <c:v>43.5</c:v>
                </c:pt>
                <c:pt idx="45">
                  <c:v>44</c:v>
                </c:pt>
                <c:pt idx="46">
                  <c:v>44.5</c:v>
                </c:pt>
                <c:pt idx="47">
                  <c:v>45</c:v>
                </c:pt>
                <c:pt idx="48">
                  <c:v>45.5</c:v>
                </c:pt>
                <c:pt idx="49">
                  <c:v>46</c:v>
                </c:pt>
                <c:pt idx="50">
                  <c:v>46.5</c:v>
                </c:pt>
                <c:pt idx="51">
                  <c:v>47</c:v>
                </c:pt>
                <c:pt idx="52">
                  <c:v>47.5</c:v>
                </c:pt>
                <c:pt idx="53">
                  <c:v>48</c:v>
                </c:pt>
                <c:pt idx="54">
                  <c:v>48.5</c:v>
                </c:pt>
                <c:pt idx="55">
                  <c:v>49</c:v>
                </c:pt>
                <c:pt idx="56">
                  <c:v>49.5</c:v>
                </c:pt>
                <c:pt idx="57">
                  <c:v>50</c:v>
                </c:pt>
                <c:pt idx="58">
                  <c:v>50.5</c:v>
                </c:pt>
                <c:pt idx="59">
                  <c:v>51</c:v>
                </c:pt>
                <c:pt idx="60">
                  <c:v>51.5</c:v>
                </c:pt>
                <c:pt idx="61">
                  <c:v>52</c:v>
                </c:pt>
                <c:pt idx="62">
                  <c:v>52.5</c:v>
                </c:pt>
                <c:pt idx="63">
                  <c:v>53</c:v>
                </c:pt>
                <c:pt idx="64">
                  <c:v>53.5</c:v>
                </c:pt>
                <c:pt idx="65">
                  <c:v>54</c:v>
                </c:pt>
                <c:pt idx="66">
                  <c:v>54.5</c:v>
                </c:pt>
                <c:pt idx="67">
                  <c:v>55</c:v>
                </c:pt>
                <c:pt idx="68">
                  <c:v>55.5</c:v>
                </c:pt>
                <c:pt idx="69">
                  <c:v>56</c:v>
                </c:pt>
                <c:pt idx="70">
                  <c:v>56.5</c:v>
                </c:pt>
                <c:pt idx="71">
                  <c:v>57</c:v>
                </c:pt>
                <c:pt idx="72">
                  <c:v>57.5</c:v>
                </c:pt>
                <c:pt idx="73">
                  <c:v>58</c:v>
                </c:pt>
                <c:pt idx="74">
                  <c:v>58.5</c:v>
                </c:pt>
                <c:pt idx="75">
                  <c:v>59</c:v>
                </c:pt>
                <c:pt idx="76">
                  <c:v>59.5</c:v>
                </c:pt>
                <c:pt idx="77">
                  <c:v>60</c:v>
                </c:pt>
                <c:pt idx="78">
                  <c:v>60.5</c:v>
                </c:pt>
                <c:pt idx="79">
                  <c:v>61</c:v>
                </c:pt>
                <c:pt idx="80">
                  <c:v>61.5</c:v>
                </c:pt>
                <c:pt idx="81">
                  <c:v>62</c:v>
                </c:pt>
                <c:pt idx="82">
                  <c:v>62.5</c:v>
                </c:pt>
                <c:pt idx="83">
                  <c:v>63</c:v>
                </c:pt>
                <c:pt idx="84">
                  <c:v>63.5</c:v>
                </c:pt>
                <c:pt idx="85">
                  <c:v>64</c:v>
                </c:pt>
                <c:pt idx="86">
                  <c:v>64.5</c:v>
                </c:pt>
                <c:pt idx="87">
                  <c:v>65</c:v>
                </c:pt>
                <c:pt idx="88">
                  <c:v>65.5</c:v>
                </c:pt>
                <c:pt idx="89">
                  <c:v>66</c:v>
                </c:pt>
                <c:pt idx="90">
                  <c:v>66.5</c:v>
                </c:pt>
                <c:pt idx="91">
                  <c:v>67</c:v>
                </c:pt>
                <c:pt idx="92">
                  <c:v>67.5</c:v>
                </c:pt>
                <c:pt idx="93">
                  <c:v>68</c:v>
                </c:pt>
                <c:pt idx="94">
                  <c:v>68.5</c:v>
                </c:pt>
                <c:pt idx="95">
                  <c:v>69</c:v>
                </c:pt>
                <c:pt idx="96">
                  <c:v>69.5</c:v>
                </c:pt>
                <c:pt idx="97">
                  <c:v>70</c:v>
                </c:pt>
                <c:pt idx="98">
                  <c:v>70.5</c:v>
                </c:pt>
                <c:pt idx="99">
                  <c:v>71</c:v>
                </c:pt>
                <c:pt idx="100">
                  <c:v>71.5</c:v>
                </c:pt>
                <c:pt idx="101">
                  <c:v>72</c:v>
                </c:pt>
                <c:pt idx="102">
                  <c:v>72.5</c:v>
                </c:pt>
                <c:pt idx="103">
                  <c:v>73</c:v>
                </c:pt>
                <c:pt idx="104">
                  <c:v>73.5</c:v>
                </c:pt>
                <c:pt idx="105">
                  <c:v>74</c:v>
                </c:pt>
                <c:pt idx="106">
                  <c:v>74.5</c:v>
                </c:pt>
                <c:pt idx="107">
                  <c:v>75</c:v>
                </c:pt>
                <c:pt idx="108">
                  <c:v>75.5</c:v>
                </c:pt>
                <c:pt idx="109">
                  <c:v>76</c:v>
                </c:pt>
                <c:pt idx="110">
                  <c:v>76.5</c:v>
                </c:pt>
                <c:pt idx="111">
                  <c:v>77</c:v>
                </c:pt>
                <c:pt idx="112">
                  <c:v>77.5</c:v>
                </c:pt>
                <c:pt idx="113">
                  <c:v>78</c:v>
                </c:pt>
                <c:pt idx="114">
                  <c:v>78.5</c:v>
                </c:pt>
                <c:pt idx="115">
                  <c:v>79</c:v>
                </c:pt>
                <c:pt idx="116">
                  <c:v>79.5</c:v>
                </c:pt>
                <c:pt idx="117">
                  <c:v>80</c:v>
                </c:pt>
                <c:pt idx="118">
                  <c:v>80.5</c:v>
                </c:pt>
                <c:pt idx="119">
                  <c:v>81</c:v>
                </c:pt>
                <c:pt idx="120">
                  <c:v>81.5</c:v>
                </c:pt>
                <c:pt idx="121">
                  <c:v>82</c:v>
                </c:pt>
                <c:pt idx="122">
                  <c:v>82.5</c:v>
                </c:pt>
                <c:pt idx="123">
                  <c:v>83</c:v>
                </c:pt>
                <c:pt idx="124">
                  <c:v>83.5</c:v>
                </c:pt>
                <c:pt idx="125">
                  <c:v>84</c:v>
                </c:pt>
                <c:pt idx="126">
                  <c:v>84.5</c:v>
                </c:pt>
                <c:pt idx="127">
                  <c:v>85</c:v>
                </c:pt>
                <c:pt idx="128">
                  <c:v>85.5</c:v>
                </c:pt>
                <c:pt idx="129">
                  <c:v>86</c:v>
                </c:pt>
                <c:pt idx="130">
                  <c:v>86.5</c:v>
                </c:pt>
                <c:pt idx="131">
                  <c:v>87</c:v>
                </c:pt>
                <c:pt idx="132">
                  <c:v>87.5</c:v>
                </c:pt>
                <c:pt idx="133">
                  <c:v>88</c:v>
                </c:pt>
                <c:pt idx="134">
                  <c:v>88.5</c:v>
                </c:pt>
                <c:pt idx="135">
                  <c:v>89</c:v>
                </c:pt>
                <c:pt idx="136">
                  <c:v>89.5</c:v>
                </c:pt>
                <c:pt idx="137">
                  <c:v>90</c:v>
                </c:pt>
                <c:pt idx="138">
                  <c:v>90.5</c:v>
                </c:pt>
                <c:pt idx="139">
                  <c:v>91</c:v>
                </c:pt>
                <c:pt idx="140">
                  <c:v>91.5</c:v>
                </c:pt>
                <c:pt idx="141">
                  <c:v>92</c:v>
                </c:pt>
                <c:pt idx="142">
                  <c:v>92.5</c:v>
                </c:pt>
                <c:pt idx="143">
                  <c:v>93</c:v>
                </c:pt>
                <c:pt idx="144">
                  <c:v>93.5</c:v>
                </c:pt>
                <c:pt idx="145">
                  <c:v>94</c:v>
                </c:pt>
                <c:pt idx="146">
                  <c:v>94.5</c:v>
                </c:pt>
                <c:pt idx="147">
                  <c:v>95</c:v>
                </c:pt>
                <c:pt idx="148">
                  <c:v>95.5</c:v>
                </c:pt>
                <c:pt idx="149">
                  <c:v>96</c:v>
                </c:pt>
                <c:pt idx="150">
                  <c:v>96.5</c:v>
                </c:pt>
                <c:pt idx="151">
                  <c:v>97</c:v>
                </c:pt>
                <c:pt idx="152">
                  <c:v>97.5</c:v>
                </c:pt>
                <c:pt idx="153">
                  <c:v>98</c:v>
                </c:pt>
                <c:pt idx="154">
                  <c:v>98.5</c:v>
                </c:pt>
                <c:pt idx="155">
                  <c:v>99</c:v>
                </c:pt>
                <c:pt idx="156">
                  <c:v>99.5</c:v>
                </c:pt>
                <c:pt idx="157">
                  <c:v>100</c:v>
                </c:pt>
                <c:pt idx="158">
                  <c:v>100.5</c:v>
                </c:pt>
                <c:pt idx="159">
                  <c:v>101</c:v>
                </c:pt>
                <c:pt idx="160">
                  <c:v>101.5</c:v>
                </c:pt>
                <c:pt idx="161">
                  <c:v>102</c:v>
                </c:pt>
                <c:pt idx="162">
                  <c:v>102.5</c:v>
                </c:pt>
                <c:pt idx="163">
                  <c:v>103</c:v>
                </c:pt>
                <c:pt idx="164">
                  <c:v>103.5</c:v>
                </c:pt>
                <c:pt idx="165">
                  <c:v>104</c:v>
                </c:pt>
                <c:pt idx="166">
                  <c:v>104.5</c:v>
                </c:pt>
                <c:pt idx="167">
                  <c:v>105</c:v>
                </c:pt>
                <c:pt idx="168">
                  <c:v>105.5</c:v>
                </c:pt>
                <c:pt idx="169">
                  <c:v>106</c:v>
                </c:pt>
                <c:pt idx="170">
                  <c:v>106.5</c:v>
                </c:pt>
                <c:pt idx="171">
                  <c:v>107</c:v>
                </c:pt>
                <c:pt idx="172">
                  <c:v>107.5</c:v>
                </c:pt>
                <c:pt idx="173">
                  <c:v>108</c:v>
                </c:pt>
                <c:pt idx="174">
                  <c:v>108.5</c:v>
                </c:pt>
                <c:pt idx="175">
                  <c:v>109</c:v>
                </c:pt>
                <c:pt idx="176">
                  <c:v>109.5</c:v>
                </c:pt>
                <c:pt idx="177">
                  <c:v>110</c:v>
                </c:pt>
                <c:pt idx="178">
                  <c:v>110.5</c:v>
                </c:pt>
                <c:pt idx="179">
                  <c:v>111</c:v>
                </c:pt>
                <c:pt idx="180">
                  <c:v>111.5</c:v>
                </c:pt>
                <c:pt idx="181">
                  <c:v>112</c:v>
                </c:pt>
                <c:pt idx="182">
                  <c:v>112.5</c:v>
                </c:pt>
                <c:pt idx="183">
                  <c:v>113</c:v>
                </c:pt>
                <c:pt idx="184">
                  <c:v>113.5</c:v>
                </c:pt>
                <c:pt idx="185">
                  <c:v>114</c:v>
                </c:pt>
                <c:pt idx="186">
                  <c:v>114.5</c:v>
                </c:pt>
                <c:pt idx="187">
                  <c:v>115</c:v>
                </c:pt>
                <c:pt idx="188">
                  <c:v>115.5</c:v>
                </c:pt>
                <c:pt idx="189">
                  <c:v>116</c:v>
                </c:pt>
                <c:pt idx="190">
                  <c:v>116.5</c:v>
                </c:pt>
                <c:pt idx="191">
                  <c:v>117</c:v>
                </c:pt>
                <c:pt idx="192">
                  <c:v>117.5</c:v>
                </c:pt>
                <c:pt idx="193">
                  <c:v>118</c:v>
                </c:pt>
                <c:pt idx="194">
                  <c:v>118.5</c:v>
                </c:pt>
                <c:pt idx="195">
                  <c:v>119</c:v>
                </c:pt>
                <c:pt idx="196">
                  <c:v>119.5</c:v>
                </c:pt>
                <c:pt idx="197">
                  <c:v>120</c:v>
                </c:pt>
                <c:pt idx="198">
                  <c:v>120.5</c:v>
                </c:pt>
                <c:pt idx="199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74-4EB7-BFD2-03568C4EEB8A}"/>
            </c:ext>
          </c:extLst>
        </c:ser>
        <c:ser>
          <c:idx val="2"/>
          <c:order val="2"/>
          <c:tx>
            <c:strRef>
              <c:f>'n=2'!$E$1</c:f>
              <c:strCache>
                <c:ptCount val="1"/>
                <c:pt idx="0">
                  <c:v>V Upper arm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'n=2'!$E$2:$E$201</c:f>
              <c:numCache>
                <c:formatCode>General</c:formatCode>
                <c:ptCount val="200"/>
                <c:pt idx="0">
                  <c:v>230.5</c:v>
                </c:pt>
                <c:pt idx="1">
                  <c:v>230</c:v>
                </c:pt>
                <c:pt idx="2">
                  <c:v>229.5</c:v>
                </c:pt>
                <c:pt idx="3">
                  <c:v>229</c:v>
                </c:pt>
                <c:pt idx="4">
                  <c:v>228.5</c:v>
                </c:pt>
                <c:pt idx="5">
                  <c:v>228</c:v>
                </c:pt>
                <c:pt idx="6">
                  <c:v>227.5</c:v>
                </c:pt>
                <c:pt idx="7">
                  <c:v>227</c:v>
                </c:pt>
                <c:pt idx="8">
                  <c:v>226.5</c:v>
                </c:pt>
                <c:pt idx="9">
                  <c:v>226</c:v>
                </c:pt>
                <c:pt idx="10">
                  <c:v>225.5</c:v>
                </c:pt>
                <c:pt idx="11">
                  <c:v>225</c:v>
                </c:pt>
                <c:pt idx="12">
                  <c:v>224.5</c:v>
                </c:pt>
                <c:pt idx="13">
                  <c:v>224</c:v>
                </c:pt>
                <c:pt idx="14">
                  <c:v>223.5</c:v>
                </c:pt>
                <c:pt idx="15">
                  <c:v>223</c:v>
                </c:pt>
                <c:pt idx="16">
                  <c:v>222.5</c:v>
                </c:pt>
                <c:pt idx="17">
                  <c:v>222</c:v>
                </c:pt>
                <c:pt idx="18">
                  <c:v>221.5</c:v>
                </c:pt>
                <c:pt idx="19">
                  <c:v>221</c:v>
                </c:pt>
                <c:pt idx="20">
                  <c:v>220.5</c:v>
                </c:pt>
                <c:pt idx="21">
                  <c:v>220</c:v>
                </c:pt>
                <c:pt idx="22">
                  <c:v>219.5</c:v>
                </c:pt>
                <c:pt idx="23">
                  <c:v>219</c:v>
                </c:pt>
                <c:pt idx="24">
                  <c:v>218.5</c:v>
                </c:pt>
                <c:pt idx="25">
                  <c:v>218</c:v>
                </c:pt>
                <c:pt idx="26">
                  <c:v>217.5</c:v>
                </c:pt>
                <c:pt idx="27">
                  <c:v>217</c:v>
                </c:pt>
                <c:pt idx="28">
                  <c:v>216.5</c:v>
                </c:pt>
                <c:pt idx="29">
                  <c:v>216</c:v>
                </c:pt>
                <c:pt idx="30">
                  <c:v>215.5</c:v>
                </c:pt>
                <c:pt idx="31">
                  <c:v>215</c:v>
                </c:pt>
                <c:pt idx="32">
                  <c:v>214.5</c:v>
                </c:pt>
                <c:pt idx="33">
                  <c:v>214</c:v>
                </c:pt>
                <c:pt idx="34">
                  <c:v>213.5</c:v>
                </c:pt>
                <c:pt idx="35">
                  <c:v>213</c:v>
                </c:pt>
                <c:pt idx="36">
                  <c:v>212.5</c:v>
                </c:pt>
                <c:pt idx="37">
                  <c:v>212</c:v>
                </c:pt>
                <c:pt idx="38">
                  <c:v>211.5</c:v>
                </c:pt>
                <c:pt idx="39">
                  <c:v>211</c:v>
                </c:pt>
                <c:pt idx="40">
                  <c:v>210.5</c:v>
                </c:pt>
                <c:pt idx="41">
                  <c:v>210</c:v>
                </c:pt>
                <c:pt idx="42">
                  <c:v>209.5</c:v>
                </c:pt>
                <c:pt idx="43">
                  <c:v>209</c:v>
                </c:pt>
                <c:pt idx="44">
                  <c:v>208.5</c:v>
                </c:pt>
                <c:pt idx="45">
                  <c:v>208</c:v>
                </c:pt>
                <c:pt idx="46">
                  <c:v>207.5</c:v>
                </c:pt>
                <c:pt idx="47">
                  <c:v>207</c:v>
                </c:pt>
                <c:pt idx="48">
                  <c:v>206.5</c:v>
                </c:pt>
                <c:pt idx="49">
                  <c:v>206</c:v>
                </c:pt>
                <c:pt idx="50">
                  <c:v>205.5</c:v>
                </c:pt>
                <c:pt idx="51">
                  <c:v>205</c:v>
                </c:pt>
                <c:pt idx="52">
                  <c:v>204.5</c:v>
                </c:pt>
                <c:pt idx="53">
                  <c:v>204</c:v>
                </c:pt>
                <c:pt idx="54">
                  <c:v>203.5</c:v>
                </c:pt>
                <c:pt idx="55">
                  <c:v>203</c:v>
                </c:pt>
                <c:pt idx="56">
                  <c:v>202.5</c:v>
                </c:pt>
                <c:pt idx="57">
                  <c:v>202</c:v>
                </c:pt>
                <c:pt idx="58">
                  <c:v>201.5</c:v>
                </c:pt>
                <c:pt idx="59">
                  <c:v>201</c:v>
                </c:pt>
                <c:pt idx="60">
                  <c:v>200.5</c:v>
                </c:pt>
                <c:pt idx="61">
                  <c:v>200</c:v>
                </c:pt>
                <c:pt idx="62">
                  <c:v>199.5</c:v>
                </c:pt>
                <c:pt idx="63">
                  <c:v>199</c:v>
                </c:pt>
                <c:pt idx="64">
                  <c:v>198.5</c:v>
                </c:pt>
                <c:pt idx="65">
                  <c:v>198</c:v>
                </c:pt>
                <c:pt idx="66">
                  <c:v>197.5</c:v>
                </c:pt>
                <c:pt idx="67">
                  <c:v>197</c:v>
                </c:pt>
                <c:pt idx="68">
                  <c:v>196.5</c:v>
                </c:pt>
                <c:pt idx="69">
                  <c:v>196</c:v>
                </c:pt>
                <c:pt idx="70">
                  <c:v>195.5</c:v>
                </c:pt>
                <c:pt idx="71">
                  <c:v>195</c:v>
                </c:pt>
                <c:pt idx="72">
                  <c:v>194.5</c:v>
                </c:pt>
                <c:pt idx="73">
                  <c:v>194</c:v>
                </c:pt>
                <c:pt idx="74">
                  <c:v>193.5</c:v>
                </c:pt>
                <c:pt idx="75">
                  <c:v>193</c:v>
                </c:pt>
                <c:pt idx="76">
                  <c:v>192.5</c:v>
                </c:pt>
                <c:pt idx="77">
                  <c:v>192</c:v>
                </c:pt>
                <c:pt idx="78">
                  <c:v>191.5</c:v>
                </c:pt>
                <c:pt idx="79">
                  <c:v>191</c:v>
                </c:pt>
                <c:pt idx="80">
                  <c:v>190.5</c:v>
                </c:pt>
                <c:pt idx="81">
                  <c:v>190</c:v>
                </c:pt>
                <c:pt idx="82">
                  <c:v>189.5</c:v>
                </c:pt>
                <c:pt idx="83">
                  <c:v>189</c:v>
                </c:pt>
                <c:pt idx="84">
                  <c:v>188.5</c:v>
                </c:pt>
                <c:pt idx="85">
                  <c:v>188</c:v>
                </c:pt>
                <c:pt idx="86">
                  <c:v>187.5</c:v>
                </c:pt>
                <c:pt idx="87">
                  <c:v>187</c:v>
                </c:pt>
                <c:pt idx="88">
                  <c:v>186.5</c:v>
                </c:pt>
                <c:pt idx="89">
                  <c:v>186</c:v>
                </c:pt>
                <c:pt idx="90">
                  <c:v>185.5</c:v>
                </c:pt>
                <c:pt idx="91">
                  <c:v>185</c:v>
                </c:pt>
                <c:pt idx="92">
                  <c:v>184.5</c:v>
                </c:pt>
                <c:pt idx="93">
                  <c:v>184</c:v>
                </c:pt>
                <c:pt idx="94">
                  <c:v>183.5</c:v>
                </c:pt>
                <c:pt idx="95">
                  <c:v>183</c:v>
                </c:pt>
                <c:pt idx="96">
                  <c:v>182.5</c:v>
                </c:pt>
                <c:pt idx="97">
                  <c:v>182</c:v>
                </c:pt>
                <c:pt idx="98">
                  <c:v>181.5</c:v>
                </c:pt>
                <c:pt idx="99">
                  <c:v>181</c:v>
                </c:pt>
                <c:pt idx="100">
                  <c:v>180.5</c:v>
                </c:pt>
                <c:pt idx="101">
                  <c:v>180</c:v>
                </c:pt>
                <c:pt idx="102">
                  <c:v>179.5</c:v>
                </c:pt>
                <c:pt idx="103">
                  <c:v>179</c:v>
                </c:pt>
                <c:pt idx="104">
                  <c:v>178.5</c:v>
                </c:pt>
                <c:pt idx="105">
                  <c:v>178</c:v>
                </c:pt>
                <c:pt idx="106">
                  <c:v>177.5</c:v>
                </c:pt>
                <c:pt idx="107">
                  <c:v>177</c:v>
                </c:pt>
                <c:pt idx="108">
                  <c:v>176.5</c:v>
                </c:pt>
                <c:pt idx="109">
                  <c:v>176</c:v>
                </c:pt>
                <c:pt idx="110">
                  <c:v>175.5</c:v>
                </c:pt>
                <c:pt idx="111">
                  <c:v>175</c:v>
                </c:pt>
                <c:pt idx="112">
                  <c:v>174.5</c:v>
                </c:pt>
                <c:pt idx="113">
                  <c:v>174</c:v>
                </c:pt>
                <c:pt idx="114">
                  <c:v>173.5</c:v>
                </c:pt>
                <c:pt idx="115">
                  <c:v>173</c:v>
                </c:pt>
                <c:pt idx="116">
                  <c:v>172.5</c:v>
                </c:pt>
                <c:pt idx="117">
                  <c:v>172</c:v>
                </c:pt>
                <c:pt idx="118">
                  <c:v>171.5</c:v>
                </c:pt>
                <c:pt idx="119">
                  <c:v>171</c:v>
                </c:pt>
                <c:pt idx="120">
                  <c:v>170.5</c:v>
                </c:pt>
                <c:pt idx="121">
                  <c:v>170</c:v>
                </c:pt>
                <c:pt idx="122">
                  <c:v>169.5</c:v>
                </c:pt>
                <c:pt idx="123">
                  <c:v>169</c:v>
                </c:pt>
                <c:pt idx="124">
                  <c:v>168.5</c:v>
                </c:pt>
                <c:pt idx="125">
                  <c:v>168</c:v>
                </c:pt>
                <c:pt idx="126">
                  <c:v>167.5</c:v>
                </c:pt>
                <c:pt idx="127">
                  <c:v>167</c:v>
                </c:pt>
                <c:pt idx="128">
                  <c:v>166.5</c:v>
                </c:pt>
                <c:pt idx="129">
                  <c:v>166</c:v>
                </c:pt>
                <c:pt idx="130">
                  <c:v>165.5</c:v>
                </c:pt>
                <c:pt idx="131">
                  <c:v>165</c:v>
                </c:pt>
                <c:pt idx="132">
                  <c:v>164.5</c:v>
                </c:pt>
                <c:pt idx="133">
                  <c:v>164</c:v>
                </c:pt>
                <c:pt idx="134">
                  <c:v>163.5</c:v>
                </c:pt>
                <c:pt idx="135">
                  <c:v>163</c:v>
                </c:pt>
                <c:pt idx="136">
                  <c:v>162.5</c:v>
                </c:pt>
                <c:pt idx="137">
                  <c:v>162</c:v>
                </c:pt>
                <c:pt idx="138">
                  <c:v>161.5</c:v>
                </c:pt>
                <c:pt idx="139">
                  <c:v>161</c:v>
                </c:pt>
                <c:pt idx="140">
                  <c:v>160.5</c:v>
                </c:pt>
                <c:pt idx="141">
                  <c:v>160</c:v>
                </c:pt>
                <c:pt idx="142">
                  <c:v>159.5</c:v>
                </c:pt>
                <c:pt idx="143">
                  <c:v>159</c:v>
                </c:pt>
                <c:pt idx="144">
                  <c:v>158.5</c:v>
                </c:pt>
                <c:pt idx="145">
                  <c:v>158</c:v>
                </c:pt>
                <c:pt idx="146">
                  <c:v>157.5</c:v>
                </c:pt>
                <c:pt idx="147">
                  <c:v>157</c:v>
                </c:pt>
                <c:pt idx="148">
                  <c:v>156.5</c:v>
                </c:pt>
                <c:pt idx="149">
                  <c:v>156</c:v>
                </c:pt>
                <c:pt idx="150">
                  <c:v>155.5</c:v>
                </c:pt>
                <c:pt idx="151">
                  <c:v>155</c:v>
                </c:pt>
                <c:pt idx="152">
                  <c:v>154.5</c:v>
                </c:pt>
                <c:pt idx="153">
                  <c:v>154</c:v>
                </c:pt>
                <c:pt idx="154">
                  <c:v>153.5</c:v>
                </c:pt>
                <c:pt idx="155">
                  <c:v>153</c:v>
                </c:pt>
                <c:pt idx="156">
                  <c:v>152.5</c:v>
                </c:pt>
                <c:pt idx="157">
                  <c:v>152</c:v>
                </c:pt>
                <c:pt idx="158">
                  <c:v>151.5</c:v>
                </c:pt>
                <c:pt idx="159">
                  <c:v>151</c:v>
                </c:pt>
                <c:pt idx="160">
                  <c:v>150.5</c:v>
                </c:pt>
                <c:pt idx="161">
                  <c:v>150</c:v>
                </c:pt>
                <c:pt idx="162">
                  <c:v>149.5</c:v>
                </c:pt>
                <c:pt idx="163">
                  <c:v>149</c:v>
                </c:pt>
                <c:pt idx="164">
                  <c:v>148.5</c:v>
                </c:pt>
                <c:pt idx="165">
                  <c:v>148</c:v>
                </c:pt>
                <c:pt idx="166">
                  <c:v>147.5</c:v>
                </c:pt>
                <c:pt idx="167">
                  <c:v>147</c:v>
                </c:pt>
                <c:pt idx="168">
                  <c:v>146.5</c:v>
                </c:pt>
                <c:pt idx="169">
                  <c:v>146</c:v>
                </c:pt>
                <c:pt idx="170">
                  <c:v>145.5</c:v>
                </c:pt>
                <c:pt idx="171">
                  <c:v>145</c:v>
                </c:pt>
                <c:pt idx="172">
                  <c:v>144.5</c:v>
                </c:pt>
                <c:pt idx="173">
                  <c:v>144</c:v>
                </c:pt>
                <c:pt idx="174">
                  <c:v>143.5</c:v>
                </c:pt>
                <c:pt idx="175">
                  <c:v>143</c:v>
                </c:pt>
                <c:pt idx="176">
                  <c:v>142.5</c:v>
                </c:pt>
                <c:pt idx="177">
                  <c:v>142</c:v>
                </c:pt>
                <c:pt idx="178">
                  <c:v>141.5</c:v>
                </c:pt>
                <c:pt idx="179">
                  <c:v>141</c:v>
                </c:pt>
                <c:pt idx="180">
                  <c:v>140.5</c:v>
                </c:pt>
                <c:pt idx="181">
                  <c:v>140</c:v>
                </c:pt>
                <c:pt idx="182">
                  <c:v>139.5</c:v>
                </c:pt>
                <c:pt idx="183">
                  <c:v>139</c:v>
                </c:pt>
                <c:pt idx="184">
                  <c:v>138.5</c:v>
                </c:pt>
                <c:pt idx="185">
                  <c:v>138</c:v>
                </c:pt>
                <c:pt idx="186">
                  <c:v>137.5</c:v>
                </c:pt>
                <c:pt idx="187">
                  <c:v>137</c:v>
                </c:pt>
                <c:pt idx="188">
                  <c:v>136.5</c:v>
                </c:pt>
                <c:pt idx="189">
                  <c:v>136</c:v>
                </c:pt>
                <c:pt idx="190">
                  <c:v>135.5</c:v>
                </c:pt>
                <c:pt idx="191">
                  <c:v>135</c:v>
                </c:pt>
                <c:pt idx="192">
                  <c:v>134.5</c:v>
                </c:pt>
                <c:pt idx="193">
                  <c:v>134</c:v>
                </c:pt>
                <c:pt idx="194">
                  <c:v>133.5</c:v>
                </c:pt>
                <c:pt idx="195">
                  <c:v>133</c:v>
                </c:pt>
                <c:pt idx="196">
                  <c:v>132.5</c:v>
                </c:pt>
                <c:pt idx="197">
                  <c:v>132</c:v>
                </c:pt>
                <c:pt idx="198">
                  <c:v>131.5</c:v>
                </c:pt>
                <c:pt idx="199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74-4EB7-BFD2-03568C4EE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3513504"/>
        <c:axId val="1103513984"/>
      </c:lineChart>
      <c:catAx>
        <c:axId val="1103513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3513984"/>
        <c:crosses val="autoZero"/>
        <c:auto val="1"/>
        <c:lblAlgn val="ctr"/>
        <c:lblOffset val="100"/>
        <c:noMultiLvlLbl val="0"/>
      </c:catAx>
      <c:valAx>
        <c:axId val="110351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351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'n=4'!$C$1</c:f>
              <c:strCache>
                <c:ptCount val="1"/>
                <c:pt idx="0">
                  <c:v>CUMSUM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'n=4'!$C$2:$C$101</c:f>
              <c:numCache>
                <c:formatCode>General</c:formatCode>
                <c:ptCount val="100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3.75</c:v>
                </c:pt>
                <c:pt idx="4">
                  <c:v>4.5</c:v>
                </c:pt>
                <c:pt idx="5">
                  <c:v>5.5</c:v>
                </c:pt>
                <c:pt idx="6">
                  <c:v>3.5</c:v>
                </c:pt>
                <c:pt idx="7">
                  <c:v>2.5</c:v>
                </c:pt>
                <c:pt idx="8">
                  <c:v>2</c:v>
                </c:pt>
                <c:pt idx="9">
                  <c:v>1.75</c:v>
                </c:pt>
                <c:pt idx="10">
                  <c:v>1</c:v>
                </c:pt>
                <c:pt idx="11">
                  <c:v>0.5</c:v>
                </c:pt>
                <c:pt idx="12">
                  <c:v>3</c:v>
                </c:pt>
                <c:pt idx="13">
                  <c:v>4.25</c:v>
                </c:pt>
                <c:pt idx="14">
                  <c:v>5</c:v>
                </c:pt>
                <c:pt idx="15">
                  <c:v>5.75</c:v>
                </c:pt>
                <c:pt idx="16">
                  <c:v>4.5</c:v>
                </c:pt>
                <c:pt idx="17">
                  <c:v>4</c:v>
                </c:pt>
                <c:pt idx="18">
                  <c:v>2.25</c:v>
                </c:pt>
                <c:pt idx="19">
                  <c:v>4</c:v>
                </c:pt>
                <c:pt idx="20">
                  <c:v>3</c:v>
                </c:pt>
                <c:pt idx="21">
                  <c:v>2.5</c:v>
                </c:pt>
                <c:pt idx="22">
                  <c:v>4.75</c:v>
                </c:pt>
                <c:pt idx="23">
                  <c:v>5</c:v>
                </c:pt>
                <c:pt idx="24">
                  <c:v>5.75</c:v>
                </c:pt>
                <c:pt idx="25">
                  <c:v>5.5</c:v>
                </c:pt>
                <c:pt idx="26">
                  <c:v>4.5</c:v>
                </c:pt>
                <c:pt idx="27">
                  <c:v>3.75</c:v>
                </c:pt>
                <c:pt idx="28">
                  <c:v>3.25</c:v>
                </c:pt>
                <c:pt idx="29">
                  <c:v>5.75</c:v>
                </c:pt>
                <c:pt idx="30">
                  <c:v>5.75</c:v>
                </c:pt>
                <c:pt idx="31">
                  <c:v>8</c:v>
                </c:pt>
                <c:pt idx="32">
                  <c:v>7.75</c:v>
                </c:pt>
                <c:pt idx="33">
                  <c:v>6.25</c:v>
                </c:pt>
                <c:pt idx="34">
                  <c:v>4.75</c:v>
                </c:pt>
                <c:pt idx="35">
                  <c:v>6.75</c:v>
                </c:pt>
                <c:pt idx="36">
                  <c:v>7.5</c:v>
                </c:pt>
                <c:pt idx="37">
                  <c:v>5.5</c:v>
                </c:pt>
                <c:pt idx="38">
                  <c:v>5</c:v>
                </c:pt>
                <c:pt idx="39">
                  <c:v>3.5</c:v>
                </c:pt>
                <c:pt idx="40">
                  <c:v>3.5</c:v>
                </c:pt>
                <c:pt idx="41">
                  <c:v>7</c:v>
                </c:pt>
                <c:pt idx="42">
                  <c:v>6</c:v>
                </c:pt>
                <c:pt idx="43">
                  <c:v>8.75</c:v>
                </c:pt>
                <c:pt idx="44">
                  <c:v>10</c:v>
                </c:pt>
                <c:pt idx="45">
                  <c:v>6.75</c:v>
                </c:pt>
                <c:pt idx="46">
                  <c:v>9</c:v>
                </c:pt>
                <c:pt idx="47">
                  <c:v>8.75</c:v>
                </c:pt>
                <c:pt idx="48">
                  <c:v>9.75</c:v>
                </c:pt>
                <c:pt idx="49">
                  <c:v>9.75</c:v>
                </c:pt>
                <c:pt idx="50">
                  <c:v>10.5</c:v>
                </c:pt>
                <c:pt idx="51">
                  <c:v>12.5</c:v>
                </c:pt>
                <c:pt idx="52">
                  <c:v>13.75</c:v>
                </c:pt>
                <c:pt idx="53">
                  <c:v>13.75</c:v>
                </c:pt>
                <c:pt idx="54">
                  <c:v>14.5</c:v>
                </c:pt>
                <c:pt idx="55">
                  <c:v>15.25</c:v>
                </c:pt>
                <c:pt idx="56">
                  <c:v>14.75</c:v>
                </c:pt>
                <c:pt idx="57">
                  <c:v>14</c:v>
                </c:pt>
                <c:pt idx="58">
                  <c:v>15.75</c:v>
                </c:pt>
                <c:pt idx="59">
                  <c:v>14.75</c:v>
                </c:pt>
                <c:pt idx="60">
                  <c:v>15</c:v>
                </c:pt>
                <c:pt idx="61">
                  <c:v>17.75</c:v>
                </c:pt>
                <c:pt idx="62">
                  <c:v>19.25</c:v>
                </c:pt>
                <c:pt idx="63">
                  <c:v>22</c:v>
                </c:pt>
                <c:pt idx="64">
                  <c:v>26</c:v>
                </c:pt>
                <c:pt idx="65">
                  <c:v>28.25</c:v>
                </c:pt>
                <c:pt idx="66">
                  <c:v>29.25</c:v>
                </c:pt>
                <c:pt idx="67">
                  <c:v>27</c:v>
                </c:pt>
                <c:pt idx="68">
                  <c:v>28.5</c:v>
                </c:pt>
                <c:pt idx="69">
                  <c:v>30.25</c:v>
                </c:pt>
                <c:pt idx="70">
                  <c:v>30.75</c:v>
                </c:pt>
                <c:pt idx="71">
                  <c:v>32.25</c:v>
                </c:pt>
                <c:pt idx="72">
                  <c:v>33.25</c:v>
                </c:pt>
                <c:pt idx="73">
                  <c:v>37.75</c:v>
                </c:pt>
                <c:pt idx="74">
                  <c:v>40.5</c:v>
                </c:pt>
                <c:pt idx="75">
                  <c:v>39</c:v>
                </c:pt>
                <c:pt idx="76">
                  <c:v>40.25</c:v>
                </c:pt>
                <c:pt idx="77">
                  <c:v>39.5</c:v>
                </c:pt>
                <c:pt idx="78">
                  <c:v>41.25</c:v>
                </c:pt>
                <c:pt idx="79">
                  <c:v>40.25</c:v>
                </c:pt>
                <c:pt idx="80">
                  <c:v>44.5</c:v>
                </c:pt>
                <c:pt idx="81">
                  <c:v>43.5</c:v>
                </c:pt>
                <c:pt idx="82">
                  <c:v>42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43.5</c:v>
                </c:pt>
                <c:pt idx="87">
                  <c:v>44.5</c:v>
                </c:pt>
                <c:pt idx="88">
                  <c:v>46</c:v>
                </c:pt>
                <c:pt idx="89">
                  <c:v>48.5</c:v>
                </c:pt>
                <c:pt idx="90">
                  <c:v>51.75</c:v>
                </c:pt>
                <c:pt idx="91">
                  <c:v>54.75</c:v>
                </c:pt>
                <c:pt idx="92">
                  <c:v>59</c:v>
                </c:pt>
                <c:pt idx="93">
                  <c:v>60.5</c:v>
                </c:pt>
                <c:pt idx="94">
                  <c:v>61.25</c:v>
                </c:pt>
                <c:pt idx="95">
                  <c:v>62.75</c:v>
                </c:pt>
                <c:pt idx="96">
                  <c:v>62</c:v>
                </c:pt>
                <c:pt idx="97">
                  <c:v>62.75</c:v>
                </c:pt>
                <c:pt idx="98">
                  <c:v>65</c:v>
                </c:pt>
                <c:pt idx="99">
                  <c:v>63.333333333333336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DC-43B9-8F5A-0BAEBA8329FC}"/>
            </c:ext>
          </c:extLst>
        </c:ser>
        <c:ser>
          <c:idx val="1"/>
          <c:order val="1"/>
          <c:tx>
            <c:strRef>
              <c:f>'n=4'!$D$1</c:f>
              <c:strCache>
                <c:ptCount val="1"/>
                <c:pt idx="0">
                  <c:v>V Lower arm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'n=4'!$D$2:$D$101</c:f>
              <c:numCache>
                <c:formatCode>General</c:formatCode>
                <c:ptCount val="100"/>
                <c:pt idx="0">
                  <c:v>8.8333333333333357</c:v>
                </c:pt>
                <c:pt idx="1">
                  <c:v>9.3333333333333357</c:v>
                </c:pt>
                <c:pt idx="2">
                  <c:v>9.8333333333333357</c:v>
                </c:pt>
                <c:pt idx="3">
                  <c:v>10.333333333333336</c:v>
                </c:pt>
                <c:pt idx="4">
                  <c:v>10.833333333333336</c:v>
                </c:pt>
                <c:pt idx="5">
                  <c:v>11.333333333333336</c:v>
                </c:pt>
                <c:pt idx="6">
                  <c:v>11.833333333333336</c:v>
                </c:pt>
                <c:pt idx="7">
                  <c:v>12.333333333333336</c:v>
                </c:pt>
                <c:pt idx="8">
                  <c:v>12.833333333333336</c:v>
                </c:pt>
                <c:pt idx="9">
                  <c:v>13.333333333333336</c:v>
                </c:pt>
                <c:pt idx="10">
                  <c:v>13.833333333333336</c:v>
                </c:pt>
                <c:pt idx="11">
                  <c:v>14.333333333333336</c:v>
                </c:pt>
                <c:pt idx="12">
                  <c:v>14.833333333333336</c:v>
                </c:pt>
                <c:pt idx="13">
                  <c:v>15.333333333333336</c:v>
                </c:pt>
                <c:pt idx="14">
                  <c:v>15.833333333333336</c:v>
                </c:pt>
                <c:pt idx="15">
                  <c:v>16.333333333333336</c:v>
                </c:pt>
                <c:pt idx="16">
                  <c:v>16.833333333333336</c:v>
                </c:pt>
                <c:pt idx="17">
                  <c:v>17.333333333333336</c:v>
                </c:pt>
                <c:pt idx="18">
                  <c:v>17.833333333333336</c:v>
                </c:pt>
                <c:pt idx="19">
                  <c:v>18.333333333333336</c:v>
                </c:pt>
                <c:pt idx="20">
                  <c:v>18.833333333333336</c:v>
                </c:pt>
                <c:pt idx="21">
                  <c:v>19.333333333333336</c:v>
                </c:pt>
                <c:pt idx="22">
                  <c:v>19.833333333333336</c:v>
                </c:pt>
                <c:pt idx="23">
                  <c:v>20.333333333333336</c:v>
                </c:pt>
                <c:pt idx="24">
                  <c:v>20.833333333333336</c:v>
                </c:pt>
                <c:pt idx="25">
                  <c:v>21.333333333333336</c:v>
                </c:pt>
                <c:pt idx="26">
                  <c:v>21.833333333333336</c:v>
                </c:pt>
                <c:pt idx="27">
                  <c:v>22.333333333333336</c:v>
                </c:pt>
                <c:pt idx="28">
                  <c:v>22.833333333333336</c:v>
                </c:pt>
                <c:pt idx="29">
                  <c:v>23.333333333333336</c:v>
                </c:pt>
                <c:pt idx="30">
                  <c:v>23.833333333333336</c:v>
                </c:pt>
                <c:pt idx="31">
                  <c:v>24.333333333333336</c:v>
                </c:pt>
                <c:pt idx="32">
                  <c:v>24.833333333333336</c:v>
                </c:pt>
                <c:pt idx="33">
                  <c:v>25.333333333333336</c:v>
                </c:pt>
                <c:pt idx="34">
                  <c:v>25.833333333333336</c:v>
                </c:pt>
                <c:pt idx="35">
                  <c:v>26.333333333333336</c:v>
                </c:pt>
                <c:pt idx="36">
                  <c:v>26.833333333333336</c:v>
                </c:pt>
                <c:pt idx="37">
                  <c:v>27.333333333333336</c:v>
                </c:pt>
                <c:pt idx="38">
                  <c:v>27.833333333333336</c:v>
                </c:pt>
                <c:pt idx="39">
                  <c:v>28.333333333333336</c:v>
                </c:pt>
                <c:pt idx="40">
                  <c:v>28.833333333333336</c:v>
                </c:pt>
                <c:pt idx="41">
                  <c:v>29.333333333333336</c:v>
                </c:pt>
                <c:pt idx="42">
                  <c:v>29.833333333333336</c:v>
                </c:pt>
                <c:pt idx="43">
                  <c:v>30.333333333333336</c:v>
                </c:pt>
                <c:pt idx="44">
                  <c:v>30.833333333333336</c:v>
                </c:pt>
                <c:pt idx="45">
                  <c:v>31.333333333333336</c:v>
                </c:pt>
                <c:pt idx="46">
                  <c:v>31.833333333333336</c:v>
                </c:pt>
                <c:pt idx="47">
                  <c:v>32.333333333333336</c:v>
                </c:pt>
                <c:pt idx="48">
                  <c:v>32.833333333333336</c:v>
                </c:pt>
                <c:pt idx="49">
                  <c:v>33.333333333333336</c:v>
                </c:pt>
                <c:pt idx="50">
                  <c:v>33.833333333333336</c:v>
                </c:pt>
                <c:pt idx="51">
                  <c:v>34.333333333333336</c:v>
                </c:pt>
                <c:pt idx="52">
                  <c:v>34.833333333333336</c:v>
                </c:pt>
                <c:pt idx="53">
                  <c:v>35.333333333333336</c:v>
                </c:pt>
                <c:pt idx="54">
                  <c:v>35.833333333333336</c:v>
                </c:pt>
                <c:pt idx="55">
                  <c:v>36.333333333333336</c:v>
                </c:pt>
                <c:pt idx="56">
                  <c:v>36.833333333333336</c:v>
                </c:pt>
                <c:pt idx="57">
                  <c:v>37.333333333333336</c:v>
                </c:pt>
                <c:pt idx="58">
                  <c:v>37.833333333333336</c:v>
                </c:pt>
                <c:pt idx="59">
                  <c:v>38.333333333333336</c:v>
                </c:pt>
                <c:pt idx="60">
                  <c:v>38.833333333333336</c:v>
                </c:pt>
                <c:pt idx="61">
                  <c:v>39.333333333333336</c:v>
                </c:pt>
                <c:pt idx="62">
                  <c:v>39.833333333333336</c:v>
                </c:pt>
                <c:pt idx="63">
                  <c:v>40.333333333333336</c:v>
                </c:pt>
                <c:pt idx="64">
                  <c:v>40.833333333333336</c:v>
                </c:pt>
                <c:pt idx="65">
                  <c:v>41.333333333333336</c:v>
                </c:pt>
                <c:pt idx="66">
                  <c:v>41.833333333333336</c:v>
                </c:pt>
                <c:pt idx="67">
                  <c:v>42.333333333333336</c:v>
                </c:pt>
                <c:pt idx="68">
                  <c:v>42.833333333333336</c:v>
                </c:pt>
                <c:pt idx="69">
                  <c:v>43.333333333333336</c:v>
                </c:pt>
                <c:pt idx="70">
                  <c:v>43.833333333333336</c:v>
                </c:pt>
                <c:pt idx="71">
                  <c:v>44.333333333333336</c:v>
                </c:pt>
                <c:pt idx="72">
                  <c:v>44.833333333333336</c:v>
                </c:pt>
                <c:pt idx="73">
                  <c:v>45.333333333333336</c:v>
                </c:pt>
                <c:pt idx="74">
                  <c:v>45.833333333333336</c:v>
                </c:pt>
                <c:pt idx="75">
                  <c:v>46.333333333333336</c:v>
                </c:pt>
                <c:pt idx="76">
                  <c:v>46.833333333333336</c:v>
                </c:pt>
                <c:pt idx="77">
                  <c:v>47.333333333333336</c:v>
                </c:pt>
                <c:pt idx="78">
                  <c:v>47.833333333333336</c:v>
                </c:pt>
                <c:pt idx="79">
                  <c:v>48.333333333333336</c:v>
                </c:pt>
                <c:pt idx="80">
                  <c:v>48.833333333333336</c:v>
                </c:pt>
                <c:pt idx="81">
                  <c:v>49.333333333333336</c:v>
                </c:pt>
                <c:pt idx="82">
                  <c:v>49.833333333333336</c:v>
                </c:pt>
                <c:pt idx="83">
                  <c:v>50.333333333333336</c:v>
                </c:pt>
                <c:pt idx="84">
                  <c:v>50.833333333333336</c:v>
                </c:pt>
                <c:pt idx="85">
                  <c:v>51.333333333333336</c:v>
                </c:pt>
                <c:pt idx="86">
                  <c:v>51.833333333333336</c:v>
                </c:pt>
                <c:pt idx="87">
                  <c:v>52.333333333333336</c:v>
                </c:pt>
                <c:pt idx="88">
                  <c:v>52.833333333333336</c:v>
                </c:pt>
                <c:pt idx="89">
                  <c:v>53.333333333333336</c:v>
                </c:pt>
                <c:pt idx="90">
                  <c:v>53.833333333333336</c:v>
                </c:pt>
                <c:pt idx="91">
                  <c:v>54.333333333333336</c:v>
                </c:pt>
                <c:pt idx="92">
                  <c:v>54.833333333333336</c:v>
                </c:pt>
                <c:pt idx="93">
                  <c:v>55.333333333333336</c:v>
                </c:pt>
                <c:pt idx="94">
                  <c:v>55.833333333333336</c:v>
                </c:pt>
                <c:pt idx="95">
                  <c:v>56.333333333333336</c:v>
                </c:pt>
                <c:pt idx="96">
                  <c:v>56.833333333333336</c:v>
                </c:pt>
                <c:pt idx="97">
                  <c:v>57.333333333333336</c:v>
                </c:pt>
                <c:pt idx="98">
                  <c:v>57.833333333333336</c:v>
                </c:pt>
                <c:pt idx="99">
                  <c:v>58.333333333333336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DC-43B9-8F5A-0BAEBA8329FC}"/>
            </c:ext>
          </c:extLst>
        </c:ser>
        <c:ser>
          <c:idx val="2"/>
          <c:order val="2"/>
          <c:tx>
            <c:strRef>
              <c:f>'n=4'!$E$1</c:f>
              <c:strCache>
                <c:ptCount val="1"/>
                <c:pt idx="0">
                  <c:v>V Upper arm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'n=4'!$E$2:$E$101</c:f>
              <c:numCache>
                <c:formatCode>General</c:formatCode>
                <c:ptCount val="100"/>
                <c:pt idx="0">
                  <c:v>117.83333333333334</c:v>
                </c:pt>
                <c:pt idx="1">
                  <c:v>117.33333333333334</c:v>
                </c:pt>
                <c:pt idx="2">
                  <c:v>116.83333333333334</c:v>
                </c:pt>
                <c:pt idx="3">
                  <c:v>116.33333333333334</c:v>
                </c:pt>
                <c:pt idx="4">
                  <c:v>115.83333333333334</c:v>
                </c:pt>
                <c:pt idx="5">
                  <c:v>115.33333333333334</c:v>
                </c:pt>
                <c:pt idx="6">
                  <c:v>114.83333333333334</c:v>
                </c:pt>
                <c:pt idx="7">
                  <c:v>114.33333333333334</c:v>
                </c:pt>
                <c:pt idx="8">
                  <c:v>113.83333333333334</c:v>
                </c:pt>
                <c:pt idx="9">
                  <c:v>113.33333333333334</c:v>
                </c:pt>
                <c:pt idx="10">
                  <c:v>112.83333333333334</c:v>
                </c:pt>
                <c:pt idx="11">
                  <c:v>112.33333333333334</c:v>
                </c:pt>
                <c:pt idx="12">
                  <c:v>111.83333333333334</c:v>
                </c:pt>
                <c:pt idx="13">
                  <c:v>111.33333333333334</c:v>
                </c:pt>
                <c:pt idx="14">
                  <c:v>110.83333333333334</c:v>
                </c:pt>
                <c:pt idx="15">
                  <c:v>110.33333333333334</c:v>
                </c:pt>
                <c:pt idx="16">
                  <c:v>109.83333333333334</c:v>
                </c:pt>
                <c:pt idx="17">
                  <c:v>109.33333333333334</c:v>
                </c:pt>
                <c:pt idx="18">
                  <c:v>108.83333333333334</c:v>
                </c:pt>
                <c:pt idx="19">
                  <c:v>108.33333333333334</c:v>
                </c:pt>
                <c:pt idx="20">
                  <c:v>107.83333333333334</c:v>
                </c:pt>
                <c:pt idx="21">
                  <c:v>107.33333333333334</c:v>
                </c:pt>
                <c:pt idx="22">
                  <c:v>106.83333333333334</c:v>
                </c:pt>
                <c:pt idx="23">
                  <c:v>106.33333333333334</c:v>
                </c:pt>
                <c:pt idx="24">
                  <c:v>105.83333333333334</c:v>
                </c:pt>
                <c:pt idx="25">
                  <c:v>105.33333333333334</c:v>
                </c:pt>
                <c:pt idx="26">
                  <c:v>104.83333333333334</c:v>
                </c:pt>
                <c:pt idx="27">
                  <c:v>104.33333333333334</c:v>
                </c:pt>
                <c:pt idx="28">
                  <c:v>103.83333333333334</c:v>
                </c:pt>
                <c:pt idx="29">
                  <c:v>103.33333333333334</c:v>
                </c:pt>
                <c:pt idx="30">
                  <c:v>102.83333333333334</c:v>
                </c:pt>
                <c:pt idx="31">
                  <c:v>102.33333333333334</c:v>
                </c:pt>
                <c:pt idx="32">
                  <c:v>101.83333333333334</c:v>
                </c:pt>
                <c:pt idx="33">
                  <c:v>101.33333333333334</c:v>
                </c:pt>
                <c:pt idx="34">
                  <c:v>100.83333333333334</c:v>
                </c:pt>
                <c:pt idx="35">
                  <c:v>100.33333333333334</c:v>
                </c:pt>
                <c:pt idx="36">
                  <c:v>99.833333333333343</c:v>
                </c:pt>
                <c:pt idx="37">
                  <c:v>99.333333333333343</c:v>
                </c:pt>
                <c:pt idx="38">
                  <c:v>98.833333333333343</c:v>
                </c:pt>
                <c:pt idx="39">
                  <c:v>98.333333333333343</c:v>
                </c:pt>
                <c:pt idx="40">
                  <c:v>97.833333333333343</c:v>
                </c:pt>
                <c:pt idx="41">
                  <c:v>97.333333333333343</c:v>
                </c:pt>
                <c:pt idx="42">
                  <c:v>96.833333333333343</c:v>
                </c:pt>
                <c:pt idx="43">
                  <c:v>96.333333333333343</c:v>
                </c:pt>
                <c:pt idx="44">
                  <c:v>95.833333333333343</c:v>
                </c:pt>
                <c:pt idx="45">
                  <c:v>95.333333333333343</c:v>
                </c:pt>
                <c:pt idx="46">
                  <c:v>94.833333333333343</c:v>
                </c:pt>
                <c:pt idx="47">
                  <c:v>94.333333333333343</c:v>
                </c:pt>
                <c:pt idx="48">
                  <c:v>93.833333333333343</c:v>
                </c:pt>
                <c:pt idx="49">
                  <c:v>93.333333333333343</c:v>
                </c:pt>
                <c:pt idx="50">
                  <c:v>92.833333333333343</c:v>
                </c:pt>
                <c:pt idx="51">
                  <c:v>92.333333333333343</c:v>
                </c:pt>
                <c:pt idx="52">
                  <c:v>91.833333333333343</c:v>
                </c:pt>
                <c:pt idx="53">
                  <c:v>91.333333333333343</c:v>
                </c:pt>
                <c:pt idx="54">
                  <c:v>90.833333333333343</c:v>
                </c:pt>
                <c:pt idx="55">
                  <c:v>90.333333333333343</c:v>
                </c:pt>
                <c:pt idx="56">
                  <c:v>89.833333333333343</c:v>
                </c:pt>
                <c:pt idx="57">
                  <c:v>89.333333333333343</c:v>
                </c:pt>
                <c:pt idx="58">
                  <c:v>88.833333333333343</c:v>
                </c:pt>
                <c:pt idx="59">
                  <c:v>88.333333333333343</c:v>
                </c:pt>
                <c:pt idx="60">
                  <c:v>87.833333333333343</c:v>
                </c:pt>
                <c:pt idx="61">
                  <c:v>87.333333333333343</c:v>
                </c:pt>
                <c:pt idx="62">
                  <c:v>86.833333333333343</c:v>
                </c:pt>
                <c:pt idx="63">
                  <c:v>86.333333333333343</c:v>
                </c:pt>
                <c:pt idx="64">
                  <c:v>85.833333333333343</c:v>
                </c:pt>
                <c:pt idx="65">
                  <c:v>85.333333333333343</c:v>
                </c:pt>
                <c:pt idx="66">
                  <c:v>84.833333333333343</c:v>
                </c:pt>
                <c:pt idx="67">
                  <c:v>84.333333333333343</c:v>
                </c:pt>
                <c:pt idx="68">
                  <c:v>83.833333333333343</c:v>
                </c:pt>
                <c:pt idx="69">
                  <c:v>83.333333333333343</c:v>
                </c:pt>
                <c:pt idx="70">
                  <c:v>82.833333333333343</c:v>
                </c:pt>
                <c:pt idx="71">
                  <c:v>82.333333333333343</c:v>
                </c:pt>
                <c:pt idx="72">
                  <c:v>81.833333333333343</c:v>
                </c:pt>
                <c:pt idx="73">
                  <c:v>81.333333333333343</c:v>
                </c:pt>
                <c:pt idx="74">
                  <c:v>80.833333333333343</c:v>
                </c:pt>
                <c:pt idx="75">
                  <c:v>80.333333333333343</c:v>
                </c:pt>
                <c:pt idx="76">
                  <c:v>79.833333333333343</c:v>
                </c:pt>
                <c:pt idx="77">
                  <c:v>79.333333333333343</c:v>
                </c:pt>
                <c:pt idx="78">
                  <c:v>78.833333333333343</c:v>
                </c:pt>
                <c:pt idx="79">
                  <c:v>78.333333333333343</c:v>
                </c:pt>
                <c:pt idx="80">
                  <c:v>77.833333333333343</c:v>
                </c:pt>
                <c:pt idx="81">
                  <c:v>77.333333333333343</c:v>
                </c:pt>
                <c:pt idx="82">
                  <c:v>76.833333333333343</c:v>
                </c:pt>
                <c:pt idx="83">
                  <c:v>76.333333333333343</c:v>
                </c:pt>
                <c:pt idx="84">
                  <c:v>75.833333333333343</c:v>
                </c:pt>
                <c:pt idx="85">
                  <c:v>75.333333333333343</c:v>
                </c:pt>
                <c:pt idx="86">
                  <c:v>74.833333333333343</c:v>
                </c:pt>
                <c:pt idx="87">
                  <c:v>74.333333333333343</c:v>
                </c:pt>
                <c:pt idx="88">
                  <c:v>73.833333333333343</c:v>
                </c:pt>
                <c:pt idx="89">
                  <c:v>73.333333333333343</c:v>
                </c:pt>
                <c:pt idx="90">
                  <c:v>72.833333333333343</c:v>
                </c:pt>
                <c:pt idx="91">
                  <c:v>72.333333333333343</c:v>
                </c:pt>
                <c:pt idx="92">
                  <c:v>71.833333333333343</c:v>
                </c:pt>
                <c:pt idx="93">
                  <c:v>71.333333333333343</c:v>
                </c:pt>
                <c:pt idx="94">
                  <c:v>70.833333333333343</c:v>
                </c:pt>
                <c:pt idx="95">
                  <c:v>70.333333333333343</c:v>
                </c:pt>
                <c:pt idx="96">
                  <c:v>69.833333333333343</c:v>
                </c:pt>
                <c:pt idx="97">
                  <c:v>69.333333333333343</c:v>
                </c:pt>
                <c:pt idx="98">
                  <c:v>68.833333333333343</c:v>
                </c:pt>
                <c:pt idx="99">
                  <c:v>68.333333333333343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DC-43B9-8F5A-0BAEBA832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7706736"/>
        <c:axId val="897709616"/>
      </c:lineChart>
      <c:catAx>
        <c:axId val="897706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7709616"/>
        <c:crosses val="autoZero"/>
        <c:auto val="1"/>
        <c:lblAlgn val="ctr"/>
        <c:lblOffset val="100"/>
        <c:noMultiLvlLbl val="0"/>
      </c:catAx>
      <c:valAx>
        <c:axId val="89770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770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'n=4'!$F$1</c:f>
              <c:strCache>
                <c:ptCount val="1"/>
                <c:pt idx="0">
                  <c:v>C+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'n=4'!$F$2:$F$101</c:f>
              <c:numCache>
                <c:formatCode>General</c:formatCode>
                <c:ptCount val="100"/>
                <c:pt idx="0">
                  <c:v>0.5</c:v>
                </c:pt>
                <c:pt idx="1">
                  <c:v>0.25</c:v>
                </c:pt>
                <c:pt idx="2">
                  <c:v>0</c:v>
                </c:pt>
                <c:pt idx="3">
                  <c:v>1.75</c:v>
                </c:pt>
                <c:pt idx="4">
                  <c:v>2</c:v>
                </c:pt>
                <c:pt idx="5">
                  <c:v>2.5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2.75</c:v>
                </c:pt>
                <c:pt idx="14">
                  <c:v>3</c:v>
                </c:pt>
                <c:pt idx="15">
                  <c:v>3.25</c:v>
                </c:pt>
                <c:pt idx="16">
                  <c:v>1.5</c:v>
                </c:pt>
                <c:pt idx="17">
                  <c:v>0.5</c:v>
                </c:pt>
                <c:pt idx="18">
                  <c:v>0</c:v>
                </c:pt>
                <c:pt idx="19">
                  <c:v>1.25</c:v>
                </c:pt>
                <c:pt idx="20">
                  <c:v>0</c:v>
                </c:pt>
                <c:pt idx="21">
                  <c:v>0</c:v>
                </c:pt>
                <c:pt idx="22">
                  <c:v>1.75</c:v>
                </c:pt>
                <c:pt idx="23">
                  <c:v>1.5</c:v>
                </c:pt>
                <c:pt idx="24">
                  <c:v>1.75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1.5</c:v>
                </c:pt>
                <c:pt idx="31">
                  <c:v>3.25</c:v>
                </c:pt>
                <c:pt idx="32">
                  <c:v>2.5</c:v>
                </c:pt>
                <c:pt idx="33">
                  <c:v>0.5</c:v>
                </c:pt>
                <c:pt idx="34">
                  <c:v>0</c:v>
                </c:pt>
                <c:pt idx="35">
                  <c:v>1.5</c:v>
                </c:pt>
                <c:pt idx="36">
                  <c:v>1.75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3</c:v>
                </c:pt>
                <c:pt idx="42">
                  <c:v>1.5</c:v>
                </c:pt>
                <c:pt idx="43">
                  <c:v>3.75</c:v>
                </c:pt>
                <c:pt idx="44">
                  <c:v>4.5</c:v>
                </c:pt>
                <c:pt idx="45">
                  <c:v>0.75</c:v>
                </c:pt>
                <c:pt idx="46">
                  <c:v>2.5</c:v>
                </c:pt>
                <c:pt idx="47">
                  <c:v>1.75</c:v>
                </c:pt>
                <c:pt idx="48">
                  <c:v>2.25</c:v>
                </c:pt>
                <c:pt idx="49">
                  <c:v>1.75</c:v>
                </c:pt>
                <c:pt idx="50">
                  <c:v>2</c:v>
                </c:pt>
                <c:pt idx="51">
                  <c:v>3.5</c:v>
                </c:pt>
                <c:pt idx="52">
                  <c:v>4.25</c:v>
                </c:pt>
                <c:pt idx="53">
                  <c:v>3.75</c:v>
                </c:pt>
                <c:pt idx="54">
                  <c:v>4</c:v>
                </c:pt>
                <c:pt idx="55">
                  <c:v>4.25</c:v>
                </c:pt>
                <c:pt idx="56">
                  <c:v>3.25</c:v>
                </c:pt>
                <c:pt idx="57">
                  <c:v>2</c:v>
                </c:pt>
                <c:pt idx="58">
                  <c:v>3.25</c:v>
                </c:pt>
                <c:pt idx="59">
                  <c:v>1.75</c:v>
                </c:pt>
                <c:pt idx="60">
                  <c:v>1.5</c:v>
                </c:pt>
                <c:pt idx="61">
                  <c:v>3.75</c:v>
                </c:pt>
                <c:pt idx="62">
                  <c:v>4.75</c:v>
                </c:pt>
                <c:pt idx="63">
                  <c:v>7</c:v>
                </c:pt>
                <c:pt idx="64">
                  <c:v>10.5</c:v>
                </c:pt>
                <c:pt idx="65">
                  <c:v>12.25</c:v>
                </c:pt>
                <c:pt idx="66">
                  <c:v>12.75</c:v>
                </c:pt>
                <c:pt idx="67">
                  <c:v>10</c:v>
                </c:pt>
                <c:pt idx="68">
                  <c:v>11</c:v>
                </c:pt>
                <c:pt idx="69">
                  <c:v>12.25</c:v>
                </c:pt>
                <c:pt idx="70">
                  <c:v>12.25</c:v>
                </c:pt>
                <c:pt idx="71">
                  <c:v>13.25</c:v>
                </c:pt>
                <c:pt idx="72">
                  <c:v>13.75</c:v>
                </c:pt>
                <c:pt idx="73">
                  <c:v>17.75</c:v>
                </c:pt>
                <c:pt idx="74">
                  <c:v>20</c:v>
                </c:pt>
                <c:pt idx="75">
                  <c:v>18</c:v>
                </c:pt>
                <c:pt idx="76">
                  <c:v>18.75</c:v>
                </c:pt>
                <c:pt idx="77">
                  <c:v>17.5</c:v>
                </c:pt>
                <c:pt idx="78">
                  <c:v>18.75</c:v>
                </c:pt>
                <c:pt idx="79">
                  <c:v>17.25</c:v>
                </c:pt>
                <c:pt idx="80">
                  <c:v>21</c:v>
                </c:pt>
                <c:pt idx="81">
                  <c:v>19.5</c:v>
                </c:pt>
                <c:pt idx="82">
                  <c:v>17.5</c:v>
                </c:pt>
                <c:pt idx="83">
                  <c:v>16.5</c:v>
                </c:pt>
                <c:pt idx="84">
                  <c:v>16.5</c:v>
                </c:pt>
                <c:pt idx="85">
                  <c:v>16.5</c:v>
                </c:pt>
                <c:pt idx="86">
                  <c:v>17</c:v>
                </c:pt>
                <c:pt idx="87">
                  <c:v>17.5</c:v>
                </c:pt>
                <c:pt idx="88">
                  <c:v>18.5</c:v>
                </c:pt>
                <c:pt idx="89">
                  <c:v>20.5</c:v>
                </c:pt>
                <c:pt idx="90">
                  <c:v>23.25</c:v>
                </c:pt>
                <c:pt idx="91">
                  <c:v>25.75</c:v>
                </c:pt>
                <c:pt idx="92">
                  <c:v>29.5</c:v>
                </c:pt>
                <c:pt idx="93">
                  <c:v>30.5</c:v>
                </c:pt>
                <c:pt idx="94">
                  <c:v>30.75</c:v>
                </c:pt>
                <c:pt idx="95">
                  <c:v>31.75</c:v>
                </c:pt>
                <c:pt idx="96">
                  <c:v>30.5</c:v>
                </c:pt>
                <c:pt idx="97">
                  <c:v>30.75</c:v>
                </c:pt>
                <c:pt idx="98">
                  <c:v>32.5</c:v>
                </c:pt>
                <c:pt idx="99">
                  <c:v>30.333333333333336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0B-4F12-AB2D-B7C208D7E9D1}"/>
            </c:ext>
          </c:extLst>
        </c:ser>
        <c:ser>
          <c:idx val="1"/>
          <c:order val="1"/>
          <c:tx>
            <c:strRef>
              <c:f>'n=4'!$G$1</c:f>
              <c:strCache>
                <c:ptCount val="1"/>
                <c:pt idx="0">
                  <c:v>C-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'n=4'!$G$2:$G$101</c:f>
              <c:numCache>
                <c:formatCode>General</c:formatCode>
                <c:ptCount val="100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1.5</c:v>
                </c:pt>
                <c:pt idx="7">
                  <c:v>2</c:v>
                </c:pt>
                <c:pt idx="8">
                  <c:v>2</c:v>
                </c:pt>
                <c:pt idx="9">
                  <c:v>1.75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0.75</c:v>
                </c:pt>
                <c:pt idx="17">
                  <c:v>0.75</c:v>
                </c:pt>
                <c:pt idx="18">
                  <c:v>2</c:v>
                </c:pt>
                <c:pt idx="19">
                  <c:v>0</c:v>
                </c:pt>
                <c:pt idx="20">
                  <c:v>0.5</c:v>
                </c:pt>
                <c:pt idx="21">
                  <c:v>0.5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0.5</c:v>
                </c:pt>
                <c:pt idx="27">
                  <c:v>0.75</c:v>
                </c:pt>
                <c:pt idx="28">
                  <c:v>0.75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1.5</c:v>
                </c:pt>
                <c:pt idx="38">
                  <c:v>1.5</c:v>
                </c:pt>
                <c:pt idx="39">
                  <c:v>2.5</c:v>
                </c:pt>
                <c:pt idx="40">
                  <c:v>2</c:v>
                </c:pt>
                <c:pt idx="41">
                  <c:v>0</c:v>
                </c:pt>
                <c:pt idx="42">
                  <c:v>0.5</c:v>
                </c:pt>
                <c:pt idx="43">
                  <c:v>0</c:v>
                </c:pt>
                <c:pt idx="44">
                  <c:v>0</c:v>
                </c:pt>
                <c:pt idx="45">
                  <c:v>2.75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0.25</c:v>
                </c:pt>
                <c:pt idx="58">
                  <c:v>0</c:v>
                </c:pt>
                <c:pt idx="59">
                  <c:v>0.5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1.75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0.25</c:v>
                </c:pt>
                <c:pt idx="78">
                  <c:v>0</c:v>
                </c:pt>
                <c:pt idx="79">
                  <c:v>0.5</c:v>
                </c:pt>
                <c:pt idx="80">
                  <c:v>0</c:v>
                </c:pt>
                <c:pt idx="81">
                  <c:v>0.5</c:v>
                </c:pt>
                <c:pt idx="82">
                  <c:v>1.5</c:v>
                </c:pt>
                <c:pt idx="83">
                  <c:v>1.5</c:v>
                </c:pt>
                <c:pt idx="84">
                  <c:v>0.5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0.25</c:v>
                </c:pt>
                <c:pt idx="97">
                  <c:v>0</c:v>
                </c:pt>
                <c:pt idx="98">
                  <c:v>0</c:v>
                </c:pt>
                <c:pt idx="99">
                  <c:v>1.1666666666666643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0B-4F12-AB2D-B7C208D7E9D1}"/>
            </c:ext>
          </c:extLst>
        </c:ser>
        <c:ser>
          <c:idx val="2"/>
          <c:order val="2"/>
          <c:tx>
            <c:strRef>
              <c:f>'n=4'!$H$1</c:f>
              <c:strCache>
                <c:ptCount val="1"/>
                <c:pt idx="0">
                  <c:v>Max deviation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'n=4'!$H$2:$H$101</c:f>
              <c:numCache>
                <c:formatCode>General</c:formatCode>
                <c:ptCount val="10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0B-4F12-AB2D-B7C208D7E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658400"/>
        <c:axId val="974658880"/>
      </c:lineChart>
      <c:catAx>
        <c:axId val="974658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4658880"/>
        <c:crosses val="autoZero"/>
        <c:auto val="1"/>
        <c:lblAlgn val="ctr"/>
        <c:lblOffset val="100"/>
        <c:noMultiLvlLbl val="0"/>
      </c:catAx>
      <c:valAx>
        <c:axId val="97465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465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'n=8'!$C$1</c:f>
              <c:strCache>
                <c:ptCount val="1"/>
                <c:pt idx="0">
                  <c:v>CUMSUM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'n=8'!$C$2:$C$51</c:f>
              <c:numCache>
                <c:formatCode>General</c:formatCode>
                <c:ptCount val="50"/>
                <c:pt idx="0">
                  <c:v>0.625</c:v>
                </c:pt>
                <c:pt idx="1">
                  <c:v>1.875</c:v>
                </c:pt>
                <c:pt idx="2">
                  <c:v>2.75</c:v>
                </c:pt>
                <c:pt idx="3">
                  <c:v>1.25</c:v>
                </c:pt>
                <c:pt idx="4">
                  <c:v>0.875</c:v>
                </c:pt>
                <c:pt idx="5">
                  <c:v>0.25</c:v>
                </c:pt>
                <c:pt idx="6">
                  <c:v>2.125</c:v>
                </c:pt>
                <c:pt idx="7">
                  <c:v>2.875</c:v>
                </c:pt>
                <c:pt idx="8">
                  <c:v>2</c:v>
                </c:pt>
                <c:pt idx="9">
                  <c:v>2</c:v>
                </c:pt>
                <c:pt idx="10">
                  <c:v>1.25</c:v>
                </c:pt>
                <c:pt idx="11">
                  <c:v>2.5</c:v>
                </c:pt>
                <c:pt idx="12">
                  <c:v>2.75</c:v>
                </c:pt>
                <c:pt idx="13">
                  <c:v>1.875</c:v>
                </c:pt>
                <c:pt idx="14">
                  <c:v>2.875</c:v>
                </c:pt>
                <c:pt idx="15">
                  <c:v>4</c:v>
                </c:pt>
                <c:pt idx="16">
                  <c:v>3.125</c:v>
                </c:pt>
                <c:pt idx="17">
                  <c:v>3.375</c:v>
                </c:pt>
                <c:pt idx="18">
                  <c:v>2.75</c:v>
                </c:pt>
                <c:pt idx="19">
                  <c:v>1.75</c:v>
                </c:pt>
                <c:pt idx="20">
                  <c:v>3.5</c:v>
                </c:pt>
                <c:pt idx="21">
                  <c:v>4.375</c:v>
                </c:pt>
                <c:pt idx="22">
                  <c:v>3.375</c:v>
                </c:pt>
                <c:pt idx="23">
                  <c:v>4.375</c:v>
                </c:pt>
                <c:pt idx="24">
                  <c:v>4.875</c:v>
                </c:pt>
                <c:pt idx="25">
                  <c:v>6.25</c:v>
                </c:pt>
                <c:pt idx="26">
                  <c:v>6.875</c:v>
                </c:pt>
                <c:pt idx="27">
                  <c:v>7.625</c:v>
                </c:pt>
                <c:pt idx="28">
                  <c:v>7</c:v>
                </c:pt>
                <c:pt idx="29">
                  <c:v>7.375</c:v>
                </c:pt>
                <c:pt idx="30">
                  <c:v>8.875</c:v>
                </c:pt>
                <c:pt idx="31">
                  <c:v>11</c:v>
                </c:pt>
                <c:pt idx="32">
                  <c:v>14.125</c:v>
                </c:pt>
                <c:pt idx="33">
                  <c:v>13.5</c:v>
                </c:pt>
                <c:pt idx="34">
                  <c:v>15.125</c:v>
                </c:pt>
                <c:pt idx="35">
                  <c:v>16.125</c:v>
                </c:pt>
                <c:pt idx="36">
                  <c:v>18.875</c:v>
                </c:pt>
                <c:pt idx="37">
                  <c:v>19.5</c:v>
                </c:pt>
                <c:pt idx="38">
                  <c:v>19.75</c:v>
                </c:pt>
                <c:pt idx="39">
                  <c:v>20.125</c:v>
                </c:pt>
                <c:pt idx="40">
                  <c:v>21.75</c:v>
                </c:pt>
                <c:pt idx="41">
                  <c:v>20.75</c:v>
                </c:pt>
                <c:pt idx="42">
                  <c:v>21.25</c:v>
                </c:pt>
                <c:pt idx="43">
                  <c:v>22.25</c:v>
                </c:pt>
                <c:pt idx="44">
                  <c:v>24.25</c:v>
                </c:pt>
                <c:pt idx="45">
                  <c:v>27.375</c:v>
                </c:pt>
                <c:pt idx="46">
                  <c:v>30.25</c:v>
                </c:pt>
                <c:pt idx="47">
                  <c:v>31.375</c:v>
                </c:pt>
                <c:pt idx="48">
                  <c:v>31.375</c:v>
                </c:pt>
                <c:pt idx="49">
                  <c:v>31.946428571428569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EC-476A-B9BD-C8A07A53BAC8}"/>
            </c:ext>
          </c:extLst>
        </c:ser>
        <c:ser>
          <c:idx val="1"/>
          <c:order val="1"/>
          <c:tx>
            <c:strRef>
              <c:f>'n=8'!$D$1</c:f>
              <c:strCache>
                <c:ptCount val="1"/>
                <c:pt idx="0">
                  <c:v>V Lower arm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'n=8'!$D$2:$D$51</c:f>
              <c:numCache>
                <c:formatCode>General</c:formatCode>
                <c:ptCount val="50"/>
                <c:pt idx="0">
                  <c:v>2.4464285714285694</c:v>
                </c:pt>
                <c:pt idx="1">
                  <c:v>2.9464285714285694</c:v>
                </c:pt>
                <c:pt idx="2">
                  <c:v>3.4464285714285694</c:v>
                </c:pt>
                <c:pt idx="3">
                  <c:v>3.9464285714285694</c:v>
                </c:pt>
                <c:pt idx="4">
                  <c:v>4.4464285714285694</c:v>
                </c:pt>
                <c:pt idx="5">
                  <c:v>4.9464285714285694</c:v>
                </c:pt>
                <c:pt idx="6">
                  <c:v>5.4464285714285694</c:v>
                </c:pt>
                <c:pt idx="7">
                  <c:v>5.9464285714285694</c:v>
                </c:pt>
                <c:pt idx="8">
                  <c:v>6.4464285714285694</c:v>
                </c:pt>
                <c:pt idx="9">
                  <c:v>6.9464285714285694</c:v>
                </c:pt>
                <c:pt idx="10">
                  <c:v>7.4464285714285694</c:v>
                </c:pt>
                <c:pt idx="11">
                  <c:v>7.9464285714285694</c:v>
                </c:pt>
                <c:pt idx="12">
                  <c:v>8.4464285714285694</c:v>
                </c:pt>
                <c:pt idx="13">
                  <c:v>8.9464285714285694</c:v>
                </c:pt>
                <c:pt idx="14">
                  <c:v>9.4464285714285694</c:v>
                </c:pt>
                <c:pt idx="15">
                  <c:v>9.9464285714285694</c:v>
                </c:pt>
                <c:pt idx="16">
                  <c:v>10.446428571428569</c:v>
                </c:pt>
                <c:pt idx="17">
                  <c:v>10.946428571428569</c:v>
                </c:pt>
                <c:pt idx="18">
                  <c:v>11.446428571428569</c:v>
                </c:pt>
                <c:pt idx="19">
                  <c:v>11.946428571428569</c:v>
                </c:pt>
                <c:pt idx="20">
                  <c:v>12.446428571428569</c:v>
                </c:pt>
                <c:pt idx="21">
                  <c:v>12.946428571428569</c:v>
                </c:pt>
                <c:pt idx="22">
                  <c:v>13.446428571428569</c:v>
                </c:pt>
                <c:pt idx="23">
                  <c:v>13.946428571428569</c:v>
                </c:pt>
                <c:pt idx="24">
                  <c:v>14.446428571428569</c:v>
                </c:pt>
                <c:pt idx="25">
                  <c:v>14.946428571428569</c:v>
                </c:pt>
                <c:pt idx="26">
                  <c:v>15.446428571428569</c:v>
                </c:pt>
                <c:pt idx="27">
                  <c:v>15.946428571428569</c:v>
                </c:pt>
                <c:pt idx="28">
                  <c:v>16.446428571428569</c:v>
                </c:pt>
                <c:pt idx="29">
                  <c:v>16.946428571428569</c:v>
                </c:pt>
                <c:pt idx="30">
                  <c:v>17.446428571428569</c:v>
                </c:pt>
                <c:pt idx="31">
                  <c:v>17.946428571428569</c:v>
                </c:pt>
                <c:pt idx="32">
                  <c:v>18.446428571428569</c:v>
                </c:pt>
                <c:pt idx="33">
                  <c:v>18.946428571428569</c:v>
                </c:pt>
                <c:pt idx="34">
                  <c:v>19.446428571428569</c:v>
                </c:pt>
                <c:pt idx="35">
                  <c:v>19.946428571428569</c:v>
                </c:pt>
                <c:pt idx="36">
                  <c:v>20.446428571428569</c:v>
                </c:pt>
                <c:pt idx="37">
                  <c:v>20.946428571428569</c:v>
                </c:pt>
                <c:pt idx="38">
                  <c:v>21.446428571428569</c:v>
                </c:pt>
                <c:pt idx="39">
                  <c:v>21.946428571428569</c:v>
                </c:pt>
                <c:pt idx="40">
                  <c:v>22.446428571428569</c:v>
                </c:pt>
                <c:pt idx="41">
                  <c:v>22.946428571428569</c:v>
                </c:pt>
                <c:pt idx="42">
                  <c:v>23.446428571428569</c:v>
                </c:pt>
                <c:pt idx="43">
                  <c:v>23.946428571428569</c:v>
                </c:pt>
                <c:pt idx="44">
                  <c:v>24.446428571428569</c:v>
                </c:pt>
                <c:pt idx="45">
                  <c:v>24.946428571428569</c:v>
                </c:pt>
                <c:pt idx="46">
                  <c:v>25.446428571428569</c:v>
                </c:pt>
                <c:pt idx="47">
                  <c:v>25.946428571428569</c:v>
                </c:pt>
                <c:pt idx="48">
                  <c:v>26.446428571428569</c:v>
                </c:pt>
                <c:pt idx="49">
                  <c:v>26.946428571428569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EC-476A-B9BD-C8A07A53BAC8}"/>
            </c:ext>
          </c:extLst>
        </c:ser>
        <c:ser>
          <c:idx val="2"/>
          <c:order val="2"/>
          <c:tx>
            <c:strRef>
              <c:f>'n=8'!$E$1</c:f>
              <c:strCache>
                <c:ptCount val="1"/>
                <c:pt idx="0">
                  <c:v>V Upper arm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'n=8'!$E$2:$E$51</c:f>
              <c:numCache>
                <c:formatCode>General</c:formatCode>
                <c:ptCount val="50"/>
                <c:pt idx="0">
                  <c:v>61.446428571428569</c:v>
                </c:pt>
                <c:pt idx="1">
                  <c:v>60.946428571428569</c:v>
                </c:pt>
                <c:pt idx="2">
                  <c:v>60.446428571428569</c:v>
                </c:pt>
                <c:pt idx="3">
                  <c:v>59.946428571428569</c:v>
                </c:pt>
                <c:pt idx="4">
                  <c:v>59.446428571428569</c:v>
                </c:pt>
                <c:pt idx="5">
                  <c:v>58.946428571428569</c:v>
                </c:pt>
                <c:pt idx="6">
                  <c:v>58.446428571428569</c:v>
                </c:pt>
                <c:pt idx="7">
                  <c:v>57.946428571428569</c:v>
                </c:pt>
                <c:pt idx="8">
                  <c:v>57.446428571428569</c:v>
                </c:pt>
                <c:pt idx="9">
                  <c:v>56.946428571428569</c:v>
                </c:pt>
                <c:pt idx="10">
                  <c:v>56.446428571428569</c:v>
                </c:pt>
                <c:pt idx="11">
                  <c:v>55.946428571428569</c:v>
                </c:pt>
                <c:pt idx="12">
                  <c:v>55.446428571428569</c:v>
                </c:pt>
                <c:pt idx="13">
                  <c:v>54.946428571428569</c:v>
                </c:pt>
                <c:pt idx="14">
                  <c:v>54.446428571428569</c:v>
                </c:pt>
                <c:pt idx="15">
                  <c:v>53.946428571428569</c:v>
                </c:pt>
                <c:pt idx="16">
                  <c:v>53.446428571428569</c:v>
                </c:pt>
                <c:pt idx="17">
                  <c:v>52.946428571428569</c:v>
                </c:pt>
                <c:pt idx="18">
                  <c:v>52.446428571428569</c:v>
                </c:pt>
                <c:pt idx="19">
                  <c:v>51.946428571428569</c:v>
                </c:pt>
                <c:pt idx="20">
                  <c:v>51.446428571428569</c:v>
                </c:pt>
                <c:pt idx="21">
                  <c:v>50.946428571428569</c:v>
                </c:pt>
                <c:pt idx="22">
                  <c:v>50.446428571428569</c:v>
                </c:pt>
                <c:pt idx="23">
                  <c:v>49.946428571428569</c:v>
                </c:pt>
                <c:pt idx="24">
                  <c:v>49.446428571428569</c:v>
                </c:pt>
                <c:pt idx="25">
                  <c:v>48.946428571428569</c:v>
                </c:pt>
                <c:pt idx="26">
                  <c:v>48.446428571428569</c:v>
                </c:pt>
                <c:pt idx="27">
                  <c:v>47.946428571428569</c:v>
                </c:pt>
                <c:pt idx="28">
                  <c:v>47.446428571428569</c:v>
                </c:pt>
                <c:pt idx="29">
                  <c:v>46.946428571428569</c:v>
                </c:pt>
                <c:pt idx="30">
                  <c:v>46.446428571428569</c:v>
                </c:pt>
                <c:pt idx="31">
                  <c:v>45.946428571428569</c:v>
                </c:pt>
                <c:pt idx="32">
                  <c:v>45.446428571428569</c:v>
                </c:pt>
                <c:pt idx="33">
                  <c:v>44.946428571428569</c:v>
                </c:pt>
                <c:pt idx="34">
                  <c:v>44.446428571428569</c:v>
                </c:pt>
                <c:pt idx="35">
                  <c:v>43.946428571428569</c:v>
                </c:pt>
                <c:pt idx="36">
                  <c:v>43.446428571428569</c:v>
                </c:pt>
                <c:pt idx="37">
                  <c:v>42.946428571428569</c:v>
                </c:pt>
                <c:pt idx="38">
                  <c:v>42.446428571428569</c:v>
                </c:pt>
                <c:pt idx="39">
                  <c:v>41.946428571428569</c:v>
                </c:pt>
                <c:pt idx="40">
                  <c:v>41.446428571428569</c:v>
                </c:pt>
                <c:pt idx="41">
                  <c:v>40.946428571428569</c:v>
                </c:pt>
                <c:pt idx="42">
                  <c:v>40.446428571428569</c:v>
                </c:pt>
                <c:pt idx="43">
                  <c:v>39.946428571428569</c:v>
                </c:pt>
                <c:pt idx="44">
                  <c:v>39.446428571428569</c:v>
                </c:pt>
                <c:pt idx="45">
                  <c:v>38.946428571428569</c:v>
                </c:pt>
                <c:pt idx="46">
                  <c:v>38.446428571428569</c:v>
                </c:pt>
                <c:pt idx="47">
                  <c:v>37.946428571428569</c:v>
                </c:pt>
                <c:pt idx="48">
                  <c:v>37.446428571428569</c:v>
                </c:pt>
                <c:pt idx="49">
                  <c:v>36.946428571428569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EC-476A-B9BD-C8A07A53B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3719712"/>
        <c:axId val="1273718272"/>
      </c:lineChart>
      <c:catAx>
        <c:axId val="1273719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3718272"/>
        <c:crosses val="autoZero"/>
        <c:auto val="1"/>
        <c:lblAlgn val="ctr"/>
        <c:lblOffset val="100"/>
        <c:noMultiLvlLbl val="0"/>
      </c:catAx>
      <c:valAx>
        <c:axId val="127371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371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'n=8'!$F$1</c:f>
              <c:strCache>
                <c:ptCount val="1"/>
                <c:pt idx="0">
                  <c:v>C+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'n=8'!$F$2:$F$51</c:f>
              <c:numCache>
                <c:formatCode>General</c:formatCode>
                <c:ptCount val="50"/>
                <c:pt idx="0">
                  <c:v>0.125</c:v>
                </c:pt>
                <c:pt idx="1">
                  <c:v>0.875</c:v>
                </c:pt>
                <c:pt idx="2">
                  <c:v>1.25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1.375</c:v>
                </c:pt>
                <c:pt idx="7">
                  <c:v>1.625</c:v>
                </c:pt>
                <c:pt idx="8">
                  <c:v>0.25</c:v>
                </c:pt>
                <c:pt idx="9">
                  <c:v>0</c:v>
                </c:pt>
                <c:pt idx="10">
                  <c:v>0</c:v>
                </c:pt>
                <c:pt idx="11">
                  <c:v>0.75</c:v>
                </c:pt>
                <c:pt idx="12">
                  <c:v>0.5</c:v>
                </c:pt>
                <c:pt idx="13">
                  <c:v>0</c:v>
                </c:pt>
                <c:pt idx="14">
                  <c:v>0.5</c:v>
                </c:pt>
                <c:pt idx="15">
                  <c:v>1.125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1.25</c:v>
                </c:pt>
                <c:pt idx="21">
                  <c:v>1.625</c:v>
                </c:pt>
                <c:pt idx="22">
                  <c:v>0.125</c:v>
                </c:pt>
                <c:pt idx="23">
                  <c:v>0.625</c:v>
                </c:pt>
                <c:pt idx="24">
                  <c:v>0.625</c:v>
                </c:pt>
                <c:pt idx="25">
                  <c:v>1.5</c:v>
                </c:pt>
                <c:pt idx="26">
                  <c:v>1.625</c:v>
                </c:pt>
                <c:pt idx="27">
                  <c:v>1.875</c:v>
                </c:pt>
                <c:pt idx="28">
                  <c:v>0.75</c:v>
                </c:pt>
                <c:pt idx="29">
                  <c:v>0.625</c:v>
                </c:pt>
                <c:pt idx="30">
                  <c:v>1.625</c:v>
                </c:pt>
                <c:pt idx="31">
                  <c:v>3.25</c:v>
                </c:pt>
                <c:pt idx="32">
                  <c:v>5.875</c:v>
                </c:pt>
                <c:pt idx="33">
                  <c:v>4.75</c:v>
                </c:pt>
                <c:pt idx="34">
                  <c:v>5.875</c:v>
                </c:pt>
                <c:pt idx="35">
                  <c:v>6.375</c:v>
                </c:pt>
                <c:pt idx="36">
                  <c:v>8.625</c:v>
                </c:pt>
                <c:pt idx="37">
                  <c:v>8.75</c:v>
                </c:pt>
                <c:pt idx="38">
                  <c:v>8.5</c:v>
                </c:pt>
                <c:pt idx="39">
                  <c:v>8.375</c:v>
                </c:pt>
                <c:pt idx="40">
                  <c:v>9.5</c:v>
                </c:pt>
                <c:pt idx="41">
                  <c:v>8</c:v>
                </c:pt>
                <c:pt idx="42">
                  <c:v>8</c:v>
                </c:pt>
                <c:pt idx="43">
                  <c:v>8.5</c:v>
                </c:pt>
                <c:pt idx="44">
                  <c:v>10</c:v>
                </c:pt>
                <c:pt idx="45">
                  <c:v>12.625</c:v>
                </c:pt>
                <c:pt idx="46">
                  <c:v>15</c:v>
                </c:pt>
                <c:pt idx="47">
                  <c:v>15.625</c:v>
                </c:pt>
                <c:pt idx="48">
                  <c:v>15.125</c:v>
                </c:pt>
                <c:pt idx="49">
                  <c:v>15.196428571428569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CD-436D-A200-799CA3504DB6}"/>
            </c:ext>
          </c:extLst>
        </c:ser>
        <c:ser>
          <c:idx val="1"/>
          <c:order val="1"/>
          <c:tx>
            <c:strRef>
              <c:f>'n=8'!$G$1</c:f>
              <c:strCache>
                <c:ptCount val="1"/>
                <c:pt idx="0">
                  <c:v>C-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'n=8'!$G$2:$G$51</c:f>
              <c:numCache>
                <c:formatCode>General</c:formatCode>
                <c:ptCount val="50"/>
                <c:pt idx="0">
                  <c:v>0.125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0.875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0.375</c:v>
                </c:pt>
                <c:pt idx="9">
                  <c:v>0</c:v>
                </c:pt>
                <c:pt idx="10">
                  <c:v>0.25</c:v>
                </c:pt>
                <c:pt idx="11">
                  <c:v>0</c:v>
                </c:pt>
                <c:pt idx="12">
                  <c:v>0</c:v>
                </c:pt>
                <c:pt idx="13">
                  <c:v>0.375</c:v>
                </c:pt>
                <c:pt idx="14">
                  <c:v>0</c:v>
                </c:pt>
                <c:pt idx="15">
                  <c:v>0</c:v>
                </c:pt>
                <c:pt idx="16">
                  <c:v>0.375</c:v>
                </c:pt>
                <c:pt idx="17">
                  <c:v>0</c:v>
                </c:pt>
                <c:pt idx="18">
                  <c:v>0.125</c:v>
                </c:pt>
                <c:pt idx="19">
                  <c:v>0.625</c:v>
                </c:pt>
                <c:pt idx="20">
                  <c:v>0</c:v>
                </c:pt>
                <c:pt idx="21">
                  <c:v>0</c:v>
                </c:pt>
                <c:pt idx="22">
                  <c:v>0.5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0.125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0.125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CD-436D-A200-799CA3504DB6}"/>
            </c:ext>
          </c:extLst>
        </c:ser>
        <c:ser>
          <c:idx val="2"/>
          <c:order val="2"/>
          <c:tx>
            <c:strRef>
              <c:f>'n=8'!$H$1</c:f>
              <c:strCache>
                <c:ptCount val="1"/>
                <c:pt idx="0">
                  <c:v>Max deviation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'n=8'!$H$2:$H$51</c:f>
              <c:numCache>
                <c:formatCode>General</c:formatCode>
                <c:ptCount val="5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CD-436D-A200-799CA3504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847104"/>
        <c:axId val="481847584"/>
      </c:lineChart>
      <c:catAx>
        <c:axId val="481847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1847584"/>
        <c:crosses val="autoZero"/>
        <c:auto val="1"/>
        <c:lblAlgn val="ctr"/>
        <c:lblOffset val="100"/>
        <c:noMultiLvlLbl val="0"/>
      </c:catAx>
      <c:valAx>
        <c:axId val="48184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184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520700</xdr:colOff>
      <xdr:row>11</xdr:row>
      <xdr:rowOff>63500</xdr:rowOff>
    </xdr:from>
    <xdr:to>
      <xdr:col>15</xdr:col>
      <xdr:colOff>355600</xdr:colOff>
      <xdr:row>40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09D94025-4668-ED50-FD77-7A681DF9C3F7}"/>
                </a:ext>
              </a:extLst>
            </xdr:cNvPr>
            <xdr:cNvSpPr txBox="1"/>
          </xdr:nvSpPr>
          <xdr:spPr>
            <a:xfrm>
              <a:off x="9144000" y="2324100"/>
              <a:ext cx="3962400" cy="58293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400"/>
                <a:t>1) Compute</a:t>
              </a:r>
              <a:r>
                <a:rPr lang="fr-FR" sz="1400" baseline="0"/>
                <a:t> the CUMSUM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fr-FR" sz="14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fr-FR" sz="1400" b="0" i="1" baseline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fr-FR" sz="14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fr-FR" sz="1400" b="0" i="1" baseline="0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fr-FR" sz="14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fr-FR" sz="1400" b="0" i="1" baseline="0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4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fr-FR" sz="1400" b="0" baseline="0"/>
            </a:p>
            <a:p>
              <a:endParaRPr lang="fr-FR" sz="1400" baseline="0"/>
            </a:p>
            <a:p>
              <a:r>
                <a:rPr lang="fr-FR" sz="1400" baseline="0"/>
                <a:t>2) Compute the V-mask at the point 400.</a:t>
              </a:r>
            </a:p>
            <a:p>
              <a:r>
                <a:rPr lang="fr-FR" sz="14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V-mask consists of two straight lines originating from the last CUMSUM point, separated vertically by ±h, and with slopes ±s.</a:t>
              </a:r>
              <a:endParaRPr lang="fr-FR" sz="14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fr-FR" sz="14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4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3) Plot the CUMSUM and the V-Mask. Try to found when would have been the first time a V-mask would have detect an out of control process: Translate the V-Mask bakward.</a:t>
              </a:r>
            </a:p>
            <a:p>
              <a:endParaRPr lang="fr-FR" sz="14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400"/>
                <a:t>4) Compute 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fr-FR" sz="1400" b="0" i="1" baseline="0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fr-FR" sz="1400" b="0" i="1" baseline="0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bSup>
                    <m:r>
                      <a:rPr lang="fr-FR" sz="1400" b="0" i="1" baseline="0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fr-FR" sz="1400" b="0" i="1" baseline="0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fr-FR" sz="1400" b="0" i="0" baseline="0">
                            <a:latin typeface="Cambria Math" panose="02040503050406030204" pitchFamily="18" charset="0"/>
                          </a:rPr>
                          <m:t>max</m:t>
                        </m:r>
                      </m:fName>
                      <m:e>
                        <m:d>
                          <m:dPr>
                            <m:begChr m:val="["/>
                            <m:endChr m:val="]"/>
                            <m:ctrlP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0, </m:t>
                            </m:r>
                            <m:sSub>
                              <m:sSubPr>
                                <m:ctrlP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𝑘</m:t>
                            </m:r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Sup>
                              <m:sSubSupPr>
                                <m:ctrlP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sub>
                              <m:sup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</m:sup>
                            </m:sSubSup>
                          </m:e>
                        </m:d>
                      </m:e>
                    </m:func>
                  </m:oMath>
                </m:oMathPara>
              </a14:m>
              <a:endParaRPr lang="fr-FR" sz="1400" b="0" baseline="0"/>
            </a:p>
            <a:p>
              <a:pPr algn="ctr"/>
              <a:r>
                <a:rPr lang="fr-FR" sz="1400" b="0" baseline="0"/>
                <a:t>and </a:t>
              </a:r>
              <a:endParaRPr lang="fr-FR" sz="1400" b="0" i="1" baseline="0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400" b="0" i="1" baseline="0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fr-FR" sz="1400" b="0" i="1" baseline="0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fr-FR" sz="1400" b="0" i="0" baseline="0">
                            <a:latin typeface="Cambria Math" panose="02040503050406030204" pitchFamily="18" charset="0"/>
                          </a:rPr>
                          <m:t>max</m:t>
                        </m:r>
                      </m:fName>
                      <m:e>
                        <m:d>
                          <m:dPr>
                            <m:begChr m:val="["/>
                            <m:endChr m:val="]"/>
                            <m:ctrlP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0, </m:t>
                            </m:r>
                            <m:sSub>
                              <m:sSubPr>
                                <m:ctrlP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𝑘</m:t>
                            </m:r>
                            <m:r>
                              <a:rPr lang="fr-FR" sz="1400" b="0" i="1" baseline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Sup>
                              <m:sSubSupPr>
                                <m:ctrlP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sub>
                              <m:sup>
                                <m:r>
                                  <a:rPr lang="fr-FR" sz="1400" b="0" i="1" baseline="0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</m:sup>
                            </m:sSubSup>
                          </m:e>
                        </m:d>
                      </m:e>
                    </m:func>
                  </m:oMath>
                </m:oMathPara>
              </a14:m>
              <a:endParaRPr lang="fr-FR" sz="1400" b="0" baseline="0"/>
            </a:p>
            <a:p>
              <a:endParaRPr lang="fr-FR" sz="1400" b="0" baseline="0"/>
            </a:p>
            <a:p>
              <a:r>
                <a:rPr lang="fr-FR" sz="1400"/>
                <a:t>5) Plot C+,</a:t>
              </a:r>
              <a:r>
                <a:rPr lang="fr-FR" sz="1400" baseline="0"/>
                <a:t> C- and the threashold H.</a:t>
              </a:r>
            </a:p>
            <a:p>
              <a:endParaRPr lang="fr-FR" sz="1400" baseline="0"/>
            </a:p>
            <a:p>
              <a:r>
                <a:rPr lang="fr-FR" sz="1400" baseline="0"/>
                <a:t>6) Do the same work when the sample size is different (n=2, n=4, n=8).</a:t>
              </a:r>
            </a:p>
            <a:p>
              <a:endParaRPr lang="fr-FR" sz="1400" baseline="0"/>
            </a:p>
            <a:p>
              <a:r>
                <a:rPr lang="fr-FR" sz="1400" baseline="0"/>
                <a:t>7) fill the Average Run Length table.</a:t>
              </a:r>
              <a:endParaRPr lang="fr-FR" sz="1400"/>
            </a:p>
          </xdr:txBody>
        </xdr:sp>
      </mc:Choice>
      <mc:Fallback xmlns="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09D94025-4668-ED50-FD77-7A681DF9C3F7}"/>
                </a:ext>
              </a:extLst>
            </xdr:cNvPr>
            <xdr:cNvSpPr txBox="1"/>
          </xdr:nvSpPr>
          <xdr:spPr>
            <a:xfrm>
              <a:off x="9144000" y="2324100"/>
              <a:ext cx="3962400" cy="58293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400"/>
                <a:t>1) Compute</a:t>
              </a:r>
              <a:r>
                <a:rPr lang="fr-FR" sz="1400" baseline="0"/>
                <a:t> the CUMSUM</a:t>
              </a:r>
            </a:p>
            <a:p>
              <a:r>
                <a:rPr lang="fr-FR" sz="1400" b="0" i="0" baseline="0">
                  <a:latin typeface="Cambria Math" panose="02040503050406030204" pitchFamily="18" charset="0"/>
                </a:rPr>
                <a:t>𝐶_𝑖=𝑥_𝑖−𝜇_0+𝐶_(𝑖−1)</a:t>
              </a:r>
              <a:endParaRPr lang="fr-FR" sz="1400" i="0" baseline="0">
                <a:latin typeface="Cambria Math" panose="02040503050406030204" pitchFamily="18" charset="0"/>
              </a:endParaRPr>
            </a:p>
            <a:p>
              <a:endParaRPr lang="fr-FR" sz="1400" baseline="0"/>
            </a:p>
            <a:p>
              <a:r>
                <a:rPr lang="fr-FR" sz="1400" baseline="0"/>
                <a:t>2) Compute the V-mask at the point 400.</a:t>
              </a:r>
            </a:p>
            <a:p>
              <a:r>
                <a:rPr lang="fr-FR" sz="14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V-mask consists of two straight lines originating from the last CUMSUM point, separated vertically by ±h, and with slopes ±s.</a:t>
              </a:r>
              <a:endParaRPr lang="fr-FR" sz="14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fr-FR" sz="14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4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3) Plot the CUMSUM and the V-Mask. Try to found when would have been the first time a V-mask would have detect an out of control process: Translate the V-Mask bakward.</a:t>
              </a:r>
            </a:p>
            <a:p>
              <a:endParaRPr lang="fr-FR" sz="14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fr-FR" sz="1400"/>
                <a:t>4) Compute </a:t>
              </a:r>
            </a:p>
            <a:p>
              <a:r>
                <a:rPr lang="fr-FR" sz="1400" b="0" i="0" baseline="0">
                  <a:latin typeface="Cambria Math" panose="02040503050406030204" pitchFamily="18" charset="0"/>
                </a:rPr>
                <a:t>𝐶_𝑖^+=max⁡[0, 𝑥_𝑖−𝜇_0−𝑘+𝐶_(𝑖−1)^+ ]</a:t>
              </a:r>
              <a:endParaRPr lang="fr-FR" sz="1400" b="0" baseline="0"/>
            </a:p>
            <a:p>
              <a:pPr algn="ctr"/>
              <a:r>
                <a:rPr lang="fr-FR" sz="1400" b="0" baseline="0"/>
                <a:t>and </a:t>
              </a:r>
              <a:endParaRPr lang="fr-FR" sz="1400" b="0" i="1" baseline="0">
                <a:latin typeface="Cambria Math" panose="02040503050406030204" pitchFamily="18" charset="0"/>
              </a:endParaRPr>
            </a:p>
            <a:p>
              <a:r>
                <a:rPr lang="fr-FR" sz="1400" b="0" i="0" baseline="0">
                  <a:latin typeface="Cambria Math" panose="02040503050406030204" pitchFamily="18" charset="0"/>
                </a:rPr>
                <a:t>=max⁡[0, 𝜇_0-𝑥_𝑖−𝑘+𝐶_(𝑖−1)^- ]</a:t>
              </a:r>
              <a:endParaRPr lang="fr-FR" sz="1400" b="0" baseline="0"/>
            </a:p>
            <a:p>
              <a:endParaRPr lang="fr-FR" sz="1400" b="0" baseline="0"/>
            </a:p>
            <a:p>
              <a:r>
                <a:rPr lang="fr-FR" sz="1400"/>
                <a:t>5) Plot C+,</a:t>
              </a:r>
              <a:r>
                <a:rPr lang="fr-FR" sz="1400" baseline="0"/>
                <a:t> C- and the threashold H.</a:t>
              </a:r>
            </a:p>
            <a:p>
              <a:endParaRPr lang="fr-FR" sz="1400" baseline="0"/>
            </a:p>
            <a:p>
              <a:r>
                <a:rPr lang="fr-FR" sz="1400" baseline="0"/>
                <a:t>6) Do the same work when the sample size is different (n=2, n=4, n=8).</a:t>
              </a:r>
            </a:p>
            <a:p>
              <a:endParaRPr lang="fr-FR" sz="1400" baseline="0"/>
            </a:p>
            <a:p>
              <a:r>
                <a:rPr lang="fr-FR" sz="1400" baseline="0"/>
                <a:t>7) fill the Average Run Length table.</a:t>
              </a:r>
              <a:endParaRPr lang="fr-FR" sz="1400"/>
            </a:p>
          </xdr:txBody>
        </xdr:sp>
      </mc:Fallback>
    </mc:AlternateContent>
    <xdr:clientData/>
  </xdr:twoCellAnchor>
  <xdr:twoCellAnchor>
    <xdr:from>
      <xdr:col>15</xdr:col>
      <xdr:colOff>585608</xdr:colOff>
      <xdr:row>1</xdr:row>
      <xdr:rowOff>4233</xdr:rowOff>
    </xdr:from>
    <xdr:to>
      <xdr:col>26</xdr:col>
      <xdr:colOff>307473</xdr:colOff>
      <xdr:row>29</xdr:row>
      <xdr:rowOff>13369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150529F-1E54-55B8-C657-9D1524F1D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680605</xdr:colOff>
      <xdr:row>30</xdr:row>
      <xdr:rowOff>98137</xdr:rowOff>
    </xdr:from>
    <xdr:to>
      <xdr:col>26</xdr:col>
      <xdr:colOff>515265</xdr:colOff>
      <xdr:row>60</xdr:row>
      <xdr:rowOff>96699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DA8E9737-9ACE-16F4-DD6A-4F66296DF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413544</xdr:colOff>
      <xdr:row>29</xdr:row>
      <xdr:rowOff>186926</xdr:rowOff>
    </xdr:from>
    <xdr:to>
      <xdr:col>22</xdr:col>
      <xdr:colOff>76200</xdr:colOff>
      <xdr:row>57</xdr:row>
      <xdr:rowOff>126999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A7433E7-0A1A-77D8-BAAD-8A3CD3D87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357188</xdr:colOff>
      <xdr:row>3</xdr:row>
      <xdr:rowOff>57150</xdr:rowOff>
    </xdr:from>
    <xdr:to>
      <xdr:col>22</xdr:col>
      <xdr:colOff>127000</xdr:colOff>
      <xdr:row>29</xdr:row>
      <xdr:rowOff>25400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38174D3-8E2C-D5DA-0826-25875DFB1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432955</xdr:colOff>
      <xdr:row>4</xdr:row>
      <xdr:rowOff>139411</xdr:rowOff>
    </xdr:from>
    <xdr:to>
      <xdr:col>13</xdr:col>
      <xdr:colOff>718705</xdr:colOff>
      <xdr:row>17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536B7C8-9A98-9451-C484-314E5556A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450273</xdr:colOff>
      <xdr:row>19</xdr:row>
      <xdr:rowOff>866</xdr:rowOff>
    </xdr:from>
    <xdr:to>
      <xdr:col>13</xdr:col>
      <xdr:colOff>736023</xdr:colOff>
      <xdr:row>32</xdr:row>
      <xdr:rowOff>42429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800ADB7-B30D-EEEC-1F0F-258A99C7B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665655</xdr:colOff>
      <xdr:row>4</xdr:row>
      <xdr:rowOff>73572</xdr:rowOff>
    </xdr:from>
    <xdr:to>
      <xdr:col>16</xdr:col>
      <xdr:colOff>140138</xdr:colOff>
      <xdr:row>17</xdr:row>
      <xdr:rowOff>197945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1A9A03A-9CCB-6AAB-E6E5-B8A8D26C8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744483</xdr:colOff>
      <xdr:row>19</xdr:row>
      <xdr:rowOff>82331</xdr:rowOff>
    </xdr:from>
    <xdr:to>
      <xdr:col>16</xdr:col>
      <xdr:colOff>218966</xdr:colOff>
      <xdr:row>33</xdr:row>
      <xdr:rowOff>5255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4B955E1-7F1F-A5A2-E648-FC0E19783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317500</xdr:colOff>
      <xdr:row>7</xdr:row>
      <xdr:rowOff>165100</xdr:rowOff>
    </xdr:from>
    <xdr:ext cx="3492500" cy="3302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4A1C6E83-A3D3-F543-8A35-BEB7B83763AB}"/>
                </a:ext>
              </a:extLst>
            </xdr:cNvPr>
            <xdr:cNvSpPr txBox="1"/>
          </xdr:nvSpPr>
          <xdr:spPr>
            <a:xfrm>
              <a:off x="6946900" y="1625600"/>
              <a:ext cx="3492500" cy="3302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altLang="fr-FR" sz="2400" i="1" smtClean="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sym typeface="Symbol" panose="05050102010706020507" pitchFamily="18" charset="2"/>
                        </a:rPr>
                      </m:ctrlPr>
                    </m:sSubPr>
                    <m:e>
                      <m:r>
                        <a:rPr lang="fr-FR" altLang="fr-FR" sz="2400" b="0" i="1" smtClean="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sym typeface="Symbol" panose="05050102010706020507" pitchFamily="18" charset="2"/>
                        </a:rPr>
                        <m:t>𝑥</m:t>
                      </m:r>
                    </m:e>
                    <m:sub>
                      <m:r>
                        <a:rPr lang="fr-FR" altLang="fr-FR" sz="2400" b="0" i="1" smtClean="0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sym typeface="Symbol" panose="05050102010706020507" pitchFamily="18" charset="2"/>
                        </a:rPr>
                        <m:t>𝑖</m:t>
                      </m:r>
                    </m:sub>
                  </m:sSub>
                  <m:r>
                    <a:rPr lang="en-US" altLang="fr-FR" sz="2400" i="1" smtClean="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→</m:t>
                  </m:r>
                  <m:r>
                    <a:rPr lang="fr-FR" altLang="fr-FR" sz="2400" b="0" i="1" smtClean="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𝑁</m:t>
                  </m:r>
                  <m:r>
                    <a:rPr lang="fr-FR" altLang="fr-FR" sz="2400" b="0" i="1" smtClean="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(</m:t>
                  </m:r>
                  <m:r>
                    <m:rPr>
                      <m:nor/>
                    </m:rPr>
                    <a:rPr lang="en-US" altLang="fr-FR" sz="2400" dirty="0">
                      <a:solidFill>
                        <a:schemeClr val="tx1"/>
                      </a:solidFill>
                      <a:latin typeface="Calibri Light" panose="020F0302020204030204" pitchFamily="34" charset="0"/>
                      <a:sym typeface="Symbol" panose="05050102010706020507" pitchFamily="18" charset="2"/>
                    </a:rPr>
                    <m:t></m:t>
                  </m:r>
                  <m:r>
                    <m:rPr>
                      <m:nor/>
                    </m:rPr>
                    <a:rPr lang="en-US" altLang="fr-FR" sz="2400" baseline="-25000" dirty="0" smtClean="0">
                      <a:solidFill>
                        <a:schemeClr val="tx1"/>
                      </a:solidFill>
                      <a:latin typeface="Calibri Light" panose="020F0302020204030204" pitchFamily="34" charset="0"/>
                      <a:sym typeface="Symbol" panose="05050102010706020507" pitchFamily="18" charset="2"/>
                    </a:rPr>
                    <m:t>0</m:t>
                  </m:r>
                  <m:r>
                    <a:rPr lang="fr-FR" altLang="fr-FR" sz="2400" b="0" i="1" smtClean="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,</m:t>
                  </m:r>
                  <m:r>
                    <m:rPr>
                      <m:sty m:val="p"/>
                    </m:rPr>
                    <a:rPr lang="el-GR" altLang="fr-FR" sz="2400" i="1" dirty="0" smtClean="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σ</m:t>
                  </m:r>
                  <m:r>
                    <m:rPr>
                      <m:nor/>
                    </m:rPr>
                    <a:rPr lang="en-US" altLang="fr-FR" sz="2400" baseline="-25000" dirty="0">
                      <a:solidFill>
                        <a:schemeClr val="tx1"/>
                      </a:solidFill>
                      <a:latin typeface="Calibri Light" panose="020F0302020204030204" pitchFamily="34" charset="0"/>
                      <a:sym typeface="Symbol" panose="05050102010706020507" pitchFamily="18" charset="2"/>
                    </a:rPr>
                    <m:t>0</m:t>
                  </m:r>
                  <m:r>
                    <a:rPr lang="fr-FR" altLang="fr-FR" sz="2400" b="0" i="1" smtClean="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)</m:t>
                  </m:r>
                </m:oMath>
              </a14:m>
              <a:r>
                <a:rPr lang="en-US" altLang="fr-FR" sz="2400" dirty="0">
                  <a:solidFill>
                    <a:schemeClr val="tx1"/>
                  </a:solidFill>
                  <a:latin typeface="Calibri Light" panose="020F0302020204030204" pitchFamily="34" charset="0"/>
                  <a:sym typeface="Symbol" panose="05050102010706020507" pitchFamily="18" charset="2"/>
                </a:rPr>
                <a:t> </a:t>
              </a: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n-US" altLang="fr-FR" sz="2400" i="1" smtClean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altLang="fr-FR" sz="2400" i="1" smtClean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sym typeface="Symbol" panose="05050102010706020507" pitchFamily="18" charset="2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n-US" altLang="fr-FR" sz="2400" i="1" smtClean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sym typeface="Symbol" panose="05050102010706020507" pitchFamily="18" charset="2"/>
                                  </a:rPr>
                                </m:ctrlPr>
                              </m:sSubPr>
                              <m:e>
                                <m:r>
                                  <a:rPr lang="en-US" altLang="fr-FR" sz="2400" b="0" i="1" smtClean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sym typeface="Symbol" panose="05050102010706020507" pitchFamily="18" charset="2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fr-FR" altLang="fr-FR" sz="2400" b="0" i="1" smtClean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sym typeface="Symbol" panose="05050102010706020507" pitchFamily="18" charset="2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altLang="fr-FR" sz="2400" b="0" i="1" smtClean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sym typeface="Symbol" panose="05050102010706020507" pitchFamily="18" charset="2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altLang="fr-FR" sz="2400" i="1" smtClean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sym typeface="Symbol" panose="05050102010706020507" pitchFamily="18" charset="2"/>
                                  </a:rPr>
                                </m:ctrlPr>
                              </m:sSubPr>
                              <m:e>
                                <m:r>
                                  <a:rPr lang="en-US" altLang="fr-FR" sz="2400" b="0" i="1" smtClean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sym typeface="Symbol" panose="05050102010706020507" pitchFamily="18" charset="2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fr-FR" altLang="fr-FR" sz="2400" b="0" i="1" smtClean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sym typeface="Symbol" panose="05050102010706020507" pitchFamily="18" charset="2"/>
                                  </a:rPr>
                                  <m:t>0</m:t>
                                </m:r>
                              </m:sub>
                            </m:sSub>
                            <m:r>
                              <a:rPr lang="fr-FR" altLang="fr-FR" sz="2400" b="0" i="1" smtClean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sym typeface="Symbol" panose="05050102010706020507" pitchFamily="18" charset="2"/>
                              </a:rPr>
                              <m:t>+</m:t>
                            </m:r>
                            <m:r>
                              <a:rPr lang="fr-FR" altLang="fr-FR" sz="2400" b="0" i="1" smtClean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sym typeface="Symbol" panose="05050102010706020507" pitchFamily="18" charset="2"/>
                              </a:rPr>
                              <m:t>𝑘</m:t>
                            </m:r>
                            <m:r>
                              <a:rPr lang="el-GR" altLang="fr-FR" sz="2400" b="0" i="1" dirty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sym typeface="Symbol" panose="05050102010706020507" pitchFamily="18" charset="2"/>
                              </a:rPr>
                              <m:t>𝜎</m:t>
                            </m:r>
                            <m:r>
                              <m:rPr>
                                <m:nor/>
                              </m:rPr>
                              <a:rPr lang="en-US" altLang="fr-FR" sz="2400" baseline="-25000" dirty="0">
                                <a:solidFill>
                                  <a:schemeClr val="tx1"/>
                                </a:solidFill>
                                <a:latin typeface="Calibri Light" panose="020F0302020204030204" pitchFamily="34" charset="0"/>
                                <a:sym typeface="Symbol" panose="05050102010706020507" pitchFamily="18" charset="2"/>
                              </a:rPr>
                              <m:t>0</m:t>
                            </m:r>
                          </m:e>
                          <m:e>
                            <m:sSub>
                              <m:sSubPr>
                                <m:ctrlPr>
                                  <a:rPr lang="en-US" altLang="fr-FR" sz="24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sym typeface="Symbol" panose="05050102010706020507" pitchFamily="18" charset="2"/>
                                  </a:rPr>
                                </m:ctrlPr>
                              </m:sSubPr>
                              <m:e>
                                <m:r>
                                  <a:rPr lang="en-US" altLang="fr-FR" sz="2400" b="0" i="1" smtClean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sym typeface="Symbol" panose="05050102010706020507" pitchFamily="18" charset="2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fr-FR" altLang="fr-FR" sz="2400" b="0" i="1" smtClean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sym typeface="Symbol" panose="05050102010706020507" pitchFamily="18" charset="2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fr-FR" sz="2400" b="0" i="1" smtClean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fr-FR" sz="2400" b="0" i="1" smtClean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  <m:r>
                              <a:rPr lang="el-GR" altLang="fr-FR" sz="2400" b="0" i="1" dirty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sym typeface="Symbol" panose="05050102010706020507" pitchFamily="18" charset="2"/>
                              </a:rPr>
                              <m:t>𝜎</m:t>
                            </m:r>
                            <m:r>
                              <m:rPr>
                                <m:nor/>
                              </m:rPr>
                              <a:rPr lang="en-US" altLang="fr-FR" sz="2400" baseline="-25000" dirty="0">
                                <a:solidFill>
                                  <a:schemeClr val="tx1"/>
                                </a:solidFill>
                                <a:latin typeface="Calibri Light" panose="020F0302020204030204" pitchFamily="34" charset="0"/>
                                <a:sym typeface="Symbol" panose="05050102010706020507" pitchFamily="18" charset="2"/>
                              </a:rPr>
                              <m:t>0</m:t>
                            </m:r>
                            <m:r>
                              <m:rPr>
                                <m:nor/>
                              </m:rPr>
                              <a:rPr lang="fr-FR" altLang="fr-FR" sz="2400" b="0" i="0" baseline="-25000" dirty="0" smtClean="0">
                                <a:solidFill>
                                  <a:schemeClr val="tx1"/>
                                </a:solidFill>
                                <a:latin typeface="Calibri Light" panose="020F0302020204030204" pitchFamily="34" charset="0"/>
                                <a:sym typeface="Symbol" panose="05050102010706020507" pitchFamily="18" charset="2"/>
                              </a:rPr>
                              <m:t>              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fr-FR" sz="2400" b="0" i="1">
                <a:latin typeface="Cambria Math" panose="02040503050406030204" pitchFamily="18" charset="0"/>
              </a:endParaRPr>
            </a:p>
            <a:p>
              <a14:m>
                <m:oMath xmlns:m="http://schemas.openxmlformats.org/officeDocument/2006/math">
                  <m:r>
                    <a:rPr lang="fr-FR" sz="2400" b="0" i="1">
                      <a:latin typeface="Cambria Math" panose="02040503050406030204" pitchFamily="18" charset="0"/>
                    </a:rPr>
                    <m:t>𝑝</m:t>
                  </m:r>
                  <m:r>
                    <a:rPr lang="fr-FR" sz="2400" b="0" i="1">
                      <a:latin typeface="Cambria Math" panose="02040503050406030204" pitchFamily="18" charset="0"/>
                    </a:rPr>
                    <m:t>=</m:t>
                  </m:r>
                  <m:r>
                    <a:rPr lang="fr-FR" sz="2400" b="0" i="1">
                      <a:latin typeface="Cambria Math" panose="02040503050406030204" pitchFamily="18" charset="0"/>
                    </a:rPr>
                    <m:t>𝐹</m:t>
                  </m:r>
                  <m:r>
                    <a:rPr lang="fr-FR" sz="2400" b="0" i="1">
                      <a:latin typeface="Cambria Math" panose="02040503050406030204" pitchFamily="18" charset="0"/>
                    </a:rPr>
                    <m:t>(</m:t>
                  </m:r>
                  <m:f>
                    <m:fPr>
                      <m:ctrlPr>
                        <a:rPr lang="fr-FR" sz="2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fr-FR" sz="2400" b="0" i="1">
                          <a:latin typeface="Cambria Math" panose="02040503050406030204" pitchFamily="18" charset="0"/>
                        </a:rPr>
                        <m:t>3−</m:t>
                      </m:r>
                      <m:r>
                        <a:rPr lang="fr-FR" sz="2400" b="0" i="1">
                          <a:latin typeface="Cambria Math" panose="02040503050406030204" pitchFamily="18" charset="0"/>
                        </a:rPr>
                        <m:t>𝑘</m:t>
                      </m:r>
                      <m:rad>
                        <m:radPr>
                          <m:degHide m:val="on"/>
                          <m:ctrlPr>
                            <a:rPr lang="fr-FR" sz="240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fr-FR" sz="2400" b="0" i="1">
                              <a:latin typeface="Cambria Math" panose="02040503050406030204" pitchFamily="18" charset="0"/>
                            </a:rPr>
                            <m:t>𝑛</m:t>
                          </m:r>
                        </m:e>
                      </m:rad>
                    </m:num>
                    <m:den>
                      <m:r>
                        <a:rPr lang="fr-FR" sz="2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𝜌</m:t>
                      </m:r>
                    </m:den>
                  </m:f>
                </m:oMath>
              </a14:m>
              <a:r>
                <a:rPr lang="fr-FR" sz="2400"/>
                <a:t>)-</a:t>
              </a:r>
              <a14:m>
                <m:oMath xmlns:m="http://schemas.openxmlformats.org/officeDocument/2006/math">
                  <m:r>
                    <a:rPr lang="fr-FR" sz="2400" b="0" i="1">
                      <a:latin typeface="Cambria Math" panose="02040503050406030204" pitchFamily="18" charset="0"/>
                    </a:rPr>
                    <m:t>𝐹</m:t>
                  </m:r>
                  <m:r>
                    <a:rPr lang="fr-FR" sz="2400" b="0" i="1">
                      <a:latin typeface="Cambria Math" panose="02040503050406030204" pitchFamily="18" charset="0"/>
                    </a:rPr>
                    <m:t>(</m:t>
                  </m:r>
                  <m:f>
                    <m:fPr>
                      <m:ctrlPr>
                        <a:rPr lang="fr-FR" sz="2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fr-FR" sz="2400" b="0" i="1">
                          <a:latin typeface="Cambria Math" panose="02040503050406030204" pitchFamily="18" charset="0"/>
                        </a:rPr>
                        <m:t>−3−</m:t>
                      </m:r>
                      <m:r>
                        <a:rPr lang="fr-FR" sz="2400" b="0" i="1">
                          <a:latin typeface="Cambria Math" panose="02040503050406030204" pitchFamily="18" charset="0"/>
                        </a:rPr>
                        <m:t>𝑘</m:t>
                      </m:r>
                      <m:rad>
                        <m:radPr>
                          <m:degHide m:val="on"/>
                          <m:ctrlPr>
                            <a:rPr lang="fr-FR" sz="240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fr-FR" sz="2400" b="0" i="1">
                              <a:latin typeface="Cambria Math" panose="02040503050406030204" pitchFamily="18" charset="0"/>
                            </a:rPr>
                            <m:t>𝑛</m:t>
                          </m:r>
                        </m:e>
                      </m:rad>
                    </m:num>
                    <m:den>
                      <m:r>
                        <a:rPr lang="fr-FR" sz="2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𝜌</m:t>
                      </m:r>
                    </m:den>
                  </m:f>
                </m:oMath>
              </a14:m>
              <a:r>
                <a:rPr lang="fr-FR" sz="2400"/>
                <a:t>)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fr-FR" sz="2400" b="0" i="0">
                        <a:latin typeface="Cambria Math" panose="02040503050406030204" pitchFamily="18" charset="0"/>
                      </a:rPr>
                      <m:t>ARL</m:t>
                    </m:r>
                    <m:r>
                      <a:rPr lang="fr-FR" sz="2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fr-FR" sz="2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fr-FR" sz="2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fr-FR" sz="2400" b="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fr-FR" sz="2400" b="0" i="1">
                            <a:latin typeface="Cambria Math" panose="02040503050406030204" pitchFamily="18" charset="0"/>
                          </a:rPr>
                          <m:t>𝑝</m:t>
                        </m:r>
                      </m:den>
                    </m:f>
                  </m:oMath>
                </m:oMathPara>
              </a14:m>
              <a:endParaRPr lang="fr-FR" sz="24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4A1C6E83-A3D3-F543-8A35-BEB7B83763AB}"/>
                </a:ext>
              </a:extLst>
            </xdr:cNvPr>
            <xdr:cNvSpPr txBox="1"/>
          </xdr:nvSpPr>
          <xdr:spPr>
            <a:xfrm>
              <a:off x="6946900" y="1625600"/>
              <a:ext cx="3492500" cy="3302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fr-FR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𝑥</a:t>
              </a:r>
              <a:r>
                <a:rPr lang="en-US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_</a:t>
              </a:r>
              <a:r>
                <a:rPr lang="fr-FR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𝑖</a:t>
              </a:r>
              <a:r>
                <a:rPr lang="en-US" altLang="fr-FR" sz="240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→</a:t>
              </a:r>
              <a:r>
                <a:rPr lang="fr-FR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𝑁(</a:t>
              </a:r>
              <a:r>
                <a:rPr lang="en-US" altLang="fr-FR" sz="2400" b="0" i="0" dirty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"</a:t>
              </a:r>
              <a:r>
                <a:rPr lang="en-US" altLang="fr-FR" sz="2400" i="0" dirty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</a:t>
              </a:r>
              <a:r>
                <a:rPr lang="en-US" altLang="fr-FR" sz="2400" i="0" baseline="-25000" dirty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0</a:t>
              </a:r>
              <a:r>
                <a:rPr lang="fr-FR" altLang="fr-FR" sz="2400" b="0" i="0" baseline="-2500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"</a:t>
              </a:r>
              <a:r>
                <a:rPr lang="fr-FR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,</a:t>
              </a:r>
              <a:r>
                <a:rPr lang="el-GR" altLang="fr-FR" sz="2400" i="0" dirty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σ</a:t>
              </a:r>
              <a:r>
                <a:rPr lang="en-US" altLang="fr-FR" sz="2400" i="0" baseline="-25000" dirty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"</a:t>
              </a:r>
              <a:r>
                <a:rPr lang="en-US" altLang="fr-FR" sz="2400" i="0" baseline="-25000" dirty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0</a:t>
              </a:r>
              <a:r>
                <a:rPr lang="fr-FR" altLang="fr-FR" sz="2400" b="0" i="0" baseline="-2500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"</a:t>
              </a:r>
              <a:r>
                <a:rPr lang="fr-FR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)</a:t>
              </a:r>
              <a:r>
                <a:rPr lang="en-US" altLang="fr-FR" sz="2400" dirty="0">
                  <a:solidFill>
                    <a:schemeClr val="tx1"/>
                  </a:solidFill>
                  <a:latin typeface="Calibri Light" panose="020F0302020204030204" pitchFamily="34" charset="0"/>
                  <a:sym typeface="Symbol" panose="05050102010706020507" pitchFamily="18" charset="2"/>
                </a:rPr>
                <a:t> </a:t>
              </a:r>
            </a:p>
            <a:p>
              <a:pPr/>
              <a:r>
                <a:rPr lang="en-US" altLang="fr-FR" sz="2400" i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{█(</a:t>
              </a:r>
              <a:r>
                <a:rPr lang="en-US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𝜇_</a:t>
              </a:r>
              <a:r>
                <a:rPr lang="fr-FR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1</a:t>
              </a:r>
              <a:r>
                <a:rPr lang="en-US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=𝜇_</a:t>
              </a:r>
              <a:r>
                <a:rPr lang="fr-FR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0+𝑘</a:t>
              </a:r>
              <a:r>
                <a:rPr lang="el-GR" altLang="fr-FR" sz="2400" b="0" i="0" dirty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𝜎</a:t>
              </a:r>
              <a:r>
                <a:rPr lang="en-US" altLang="fr-FR" sz="2400" b="0" i="0" baseline="-25000" dirty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"</a:t>
              </a:r>
              <a:r>
                <a:rPr lang="en-US" altLang="fr-FR" sz="2400" i="0" baseline="-25000" dirty="0">
                  <a:solidFill>
                    <a:schemeClr val="tx1"/>
                  </a:solidFill>
                  <a:latin typeface="Calibri Light" panose="020F0302020204030204" pitchFamily="34" charset="0"/>
                  <a:sym typeface="Symbol" panose="05050102010706020507" pitchFamily="18" charset="2"/>
                </a:rPr>
                <a:t>0</a:t>
              </a:r>
              <a:r>
                <a:rPr lang="en-US" altLang="fr-FR" sz="2400" i="0" baseline="-25000" dirty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" @</a:t>
              </a:r>
              <a:r>
                <a:rPr lang="en-US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𝜎_</a:t>
              </a:r>
              <a:r>
                <a:rPr lang="fr-FR" altLang="fr-FR" sz="2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1</a:t>
              </a:r>
              <a:r>
                <a:rPr lang="fr-FR" sz="24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=</a:t>
              </a:r>
              <a:r>
                <a:rPr lang="fr-FR" sz="2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l-GR" altLang="fr-FR" sz="2400" b="0" i="0" dirty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𝜎</a:t>
              </a:r>
              <a:r>
                <a:rPr lang="en-US" altLang="fr-FR" sz="2400" b="0" i="0" baseline="-25000" dirty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"</a:t>
              </a:r>
              <a:r>
                <a:rPr lang="en-US" altLang="fr-FR" sz="2400" i="0" baseline="-25000" dirty="0">
                  <a:solidFill>
                    <a:schemeClr val="tx1"/>
                  </a:solidFill>
                  <a:latin typeface="Calibri Light" panose="020F0302020204030204" pitchFamily="34" charset="0"/>
                  <a:sym typeface="Symbol" panose="05050102010706020507" pitchFamily="18" charset="2"/>
                </a:rPr>
                <a:t>0</a:t>
              </a:r>
              <a:r>
                <a:rPr lang="fr-FR" altLang="fr-FR" sz="2400" b="0" i="0" baseline="-25000" dirty="0">
                  <a:solidFill>
                    <a:schemeClr val="tx1"/>
                  </a:solidFill>
                  <a:latin typeface="Calibri Light" panose="020F0302020204030204" pitchFamily="34" charset="0"/>
                  <a:sym typeface="Symbol" panose="05050102010706020507" pitchFamily="18" charset="2"/>
                </a:rPr>
                <a:t>              </a:t>
              </a:r>
              <a:r>
                <a:rPr lang="fr-FR" altLang="fr-FR" sz="2400" b="0" i="0" baseline="-25000" dirty="0">
                  <a:solidFill>
                    <a:schemeClr val="tx1"/>
                  </a:solidFill>
                  <a:latin typeface="Cambria Math" panose="02040503050406030204" pitchFamily="18" charset="0"/>
                  <a:sym typeface="Symbol" panose="05050102010706020507" pitchFamily="18" charset="2"/>
                </a:rPr>
                <a:t>" )┤</a:t>
              </a:r>
              <a:endParaRPr lang="fr-FR" sz="2400" b="0" i="1">
                <a:latin typeface="Cambria Math" panose="02040503050406030204" pitchFamily="18" charset="0"/>
              </a:endParaRPr>
            </a:p>
            <a:p>
              <a:r>
                <a:rPr lang="fr-FR" sz="2400" b="0" i="0">
                  <a:latin typeface="Cambria Math" panose="02040503050406030204" pitchFamily="18" charset="0"/>
                </a:rPr>
                <a:t>𝑝=𝐹(</a:t>
              </a:r>
              <a:r>
                <a:rPr lang="fr-FR" sz="2400" i="0">
                  <a:latin typeface="Cambria Math" panose="02040503050406030204" pitchFamily="18" charset="0"/>
                </a:rPr>
                <a:t>(</a:t>
              </a:r>
              <a:r>
                <a:rPr lang="fr-FR" sz="2400" b="0" i="0">
                  <a:latin typeface="Cambria Math" panose="02040503050406030204" pitchFamily="18" charset="0"/>
                </a:rPr>
                <a:t>3−𝑘√𝑛)/</a:t>
              </a:r>
              <a:r>
                <a:rPr lang="fr-FR" sz="2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fr-FR" sz="2400"/>
                <a:t>)-</a:t>
              </a:r>
              <a:r>
                <a:rPr lang="fr-FR" sz="2400" b="0" i="0">
                  <a:latin typeface="Cambria Math" panose="02040503050406030204" pitchFamily="18" charset="0"/>
                </a:rPr>
                <a:t>𝐹(</a:t>
              </a:r>
              <a:r>
                <a:rPr lang="fr-FR" sz="2400" i="0">
                  <a:latin typeface="Cambria Math" panose="02040503050406030204" pitchFamily="18" charset="0"/>
                </a:rPr>
                <a:t>(</a:t>
              </a:r>
              <a:r>
                <a:rPr lang="fr-FR" sz="2400" b="0" i="0">
                  <a:latin typeface="Cambria Math" panose="02040503050406030204" pitchFamily="18" charset="0"/>
                </a:rPr>
                <a:t>−3−𝑘√𝑛)/</a:t>
              </a:r>
              <a:r>
                <a:rPr lang="fr-FR" sz="2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fr-FR" sz="2400"/>
                <a:t>)</a:t>
              </a:r>
            </a:p>
            <a:p>
              <a:r>
                <a:rPr lang="fr-FR" sz="2400" b="0" i="0">
                  <a:latin typeface="Cambria Math" panose="02040503050406030204" pitchFamily="18" charset="0"/>
                </a:rPr>
                <a:t>ARL=1/(1−𝑝)</a:t>
              </a:r>
              <a:endParaRPr lang="fr-FR" sz="2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7D54-4A10-394E-900F-DF91FD1D01A0}">
  <dimension ref="A1:O400"/>
  <sheetViews>
    <sheetView topLeftCell="E21" zoomScale="62" workbookViewId="0">
      <selection activeCell="S372" sqref="S372"/>
    </sheetView>
  </sheetViews>
  <sheetFormatPr baseColWidth="10" defaultRowHeight="15.6" x14ac:dyDescent="0.3"/>
  <cols>
    <col min="8" max="8" width="15.69921875" customWidth="1"/>
  </cols>
  <sheetData>
    <row r="1" spans="1:15" ht="16.2" thickBot="1" x14ac:dyDescent="0.35">
      <c r="A1" s="11" t="s">
        <v>0</v>
      </c>
      <c r="B1" s="12" t="s">
        <v>2</v>
      </c>
      <c r="C1" s="17" t="s">
        <v>4</v>
      </c>
      <c r="D1" s="11" t="s">
        <v>16</v>
      </c>
      <c r="E1" s="12" t="s">
        <v>17</v>
      </c>
      <c r="F1" s="11" t="s">
        <v>5</v>
      </c>
      <c r="G1" s="12" t="s">
        <v>6</v>
      </c>
      <c r="H1" s="17" t="s">
        <v>18</v>
      </c>
      <c r="I1" s="11" t="s">
        <v>7</v>
      </c>
      <c r="J1" s="12" t="s">
        <v>8</v>
      </c>
      <c r="L1" s="17" t="s">
        <v>13</v>
      </c>
      <c r="M1" s="17" t="s">
        <v>10</v>
      </c>
      <c r="N1" s="17" t="s">
        <v>15</v>
      </c>
      <c r="O1" s="17" t="s">
        <v>14</v>
      </c>
    </row>
    <row r="2" spans="1:15" ht="16.2" thickBot="1" x14ac:dyDescent="0.35">
      <c r="A2" s="13">
        <v>1</v>
      </c>
      <c r="B2" s="2">
        <v>50</v>
      </c>
      <c r="C2" s="18">
        <f>B2-L$2+0</f>
        <v>0</v>
      </c>
      <c r="D2" s="1">
        <f t="shared" ref="D2:D65" si="0">D3-$M$2</f>
        <v>51</v>
      </c>
      <c r="E2" s="1">
        <f t="shared" ref="E2:E65" si="1">E3+$M$2</f>
        <v>459</v>
      </c>
      <c r="F2" s="1">
        <f>MAX(0,B2-L2-M2)</f>
        <v>0</v>
      </c>
      <c r="G2" s="2">
        <f>MAX(0,L2-B2-M2)</f>
        <v>0</v>
      </c>
      <c r="H2" s="18">
        <f>$O$2</f>
        <v>5</v>
      </c>
      <c r="I2" s="1"/>
      <c r="J2" s="2"/>
      <c r="L2" s="4">
        <v>50</v>
      </c>
      <c r="M2" s="16">
        <f>N2/2</f>
        <v>0.5</v>
      </c>
      <c r="N2" s="16">
        <v>1</v>
      </c>
      <c r="O2" s="16">
        <f>N2*5</f>
        <v>5</v>
      </c>
    </row>
    <row r="3" spans="1:15" x14ac:dyDescent="0.3">
      <c r="A3" s="1">
        <v>2</v>
      </c>
      <c r="B3" s="2">
        <v>52</v>
      </c>
      <c r="C3" s="18">
        <f>B3-L$2+C2</f>
        <v>2</v>
      </c>
      <c r="D3" s="1">
        <f t="shared" si="0"/>
        <v>51.5</v>
      </c>
      <c r="E3" s="1">
        <f t="shared" si="1"/>
        <v>458.5</v>
      </c>
      <c r="F3" s="1">
        <f>MAX(0,B3-$L$2-$M$2+F2)</f>
        <v>1.5</v>
      </c>
      <c r="G3" s="1">
        <f>MAX(0,$L$2-B3-$M$2+G2)</f>
        <v>0</v>
      </c>
      <c r="H3" s="18">
        <f t="shared" ref="H3:H66" si="2">$O$2</f>
        <v>5</v>
      </c>
      <c r="I3" s="1"/>
      <c r="J3" s="2"/>
    </row>
    <row r="4" spans="1:15" x14ac:dyDescent="0.3">
      <c r="A4" s="1">
        <v>3</v>
      </c>
      <c r="B4" s="2">
        <v>51</v>
      </c>
      <c r="C4" s="18">
        <f t="shared" ref="C4:C67" si="3">B4-L$2+C3</f>
        <v>3</v>
      </c>
      <c r="D4" s="1">
        <f t="shared" si="0"/>
        <v>52</v>
      </c>
      <c r="E4" s="1">
        <f t="shared" si="1"/>
        <v>458</v>
      </c>
      <c r="F4" s="1">
        <f t="shared" ref="F4:F67" si="4">MAX(0,B4-$L$2-$M$2+F3)</f>
        <v>2</v>
      </c>
      <c r="G4" s="1">
        <f t="shared" ref="G4:G67" si="5">MAX(0,$L$2-B4-$M$2+G3)</f>
        <v>0</v>
      </c>
      <c r="H4" s="18">
        <f t="shared" si="2"/>
        <v>5</v>
      </c>
      <c r="I4" s="1"/>
      <c r="J4" s="2"/>
    </row>
    <row r="5" spans="1:15" x14ac:dyDescent="0.3">
      <c r="A5" s="1">
        <v>4</v>
      </c>
      <c r="B5" s="2">
        <v>51</v>
      </c>
      <c r="C5" s="18">
        <f t="shared" si="3"/>
        <v>4</v>
      </c>
      <c r="D5" s="1">
        <f t="shared" si="0"/>
        <v>52.5</v>
      </c>
      <c r="E5" s="1">
        <f t="shared" si="1"/>
        <v>457.5</v>
      </c>
      <c r="F5" s="1">
        <f t="shared" si="4"/>
        <v>2.5</v>
      </c>
      <c r="G5" s="1">
        <f t="shared" si="5"/>
        <v>0</v>
      </c>
      <c r="H5" s="18">
        <f t="shared" si="2"/>
        <v>5</v>
      </c>
      <c r="I5" s="1"/>
      <c r="J5" s="2"/>
    </row>
    <row r="6" spans="1:15" x14ac:dyDescent="0.3">
      <c r="A6" s="1">
        <v>5</v>
      </c>
      <c r="B6" s="2">
        <v>52</v>
      </c>
      <c r="C6" s="18">
        <f t="shared" si="3"/>
        <v>6</v>
      </c>
      <c r="D6" s="1">
        <f t="shared" si="0"/>
        <v>53</v>
      </c>
      <c r="E6" s="1">
        <f t="shared" si="1"/>
        <v>457</v>
      </c>
      <c r="F6" s="1">
        <f t="shared" si="4"/>
        <v>4</v>
      </c>
      <c r="G6" s="1">
        <f t="shared" si="5"/>
        <v>0</v>
      </c>
      <c r="H6" s="18">
        <f t="shared" si="2"/>
        <v>5</v>
      </c>
      <c r="I6" s="1"/>
      <c r="J6" s="2"/>
    </row>
    <row r="7" spans="1:15" x14ac:dyDescent="0.3">
      <c r="A7" s="1">
        <v>6</v>
      </c>
      <c r="B7" s="2">
        <v>50</v>
      </c>
      <c r="C7" s="18">
        <f t="shared" si="3"/>
        <v>6</v>
      </c>
      <c r="D7" s="1">
        <f t="shared" si="0"/>
        <v>53.5</v>
      </c>
      <c r="E7" s="1">
        <f t="shared" si="1"/>
        <v>456.5</v>
      </c>
      <c r="F7" s="1">
        <f t="shared" si="4"/>
        <v>3.5</v>
      </c>
      <c r="G7" s="1">
        <f t="shared" si="5"/>
        <v>0</v>
      </c>
      <c r="H7" s="18">
        <f t="shared" si="2"/>
        <v>5</v>
      </c>
      <c r="I7" s="1"/>
      <c r="J7" s="2"/>
    </row>
    <row r="8" spans="1:15" x14ac:dyDescent="0.3">
      <c r="A8" s="1">
        <v>7</v>
      </c>
      <c r="B8" s="2">
        <v>48</v>
      </c>
      <c r="C8" s="18">
        <f t="shared" si="3"/>
        <v>4</v>
      </c>
      <c r="D8" s="1">
        <f t="shared" si="0"/>
        <v>54</v>
      </c>
      <c r="E8" s="1">
        <f t="shared" si="1"/>
        <v>456</v>
      </c>
      <c r="F8" s="1">
        <f t="shared" si="4"/>
        <v>1</v>
      </c>
      <c r="G8" s="1">
        <f t="shared" si="5"/>
        <v>1.5</v>
      </c>
      <c r="H8" s="18">
        <f t="shared" si="2"/>
        <v>5</v>
      </c>
      <c r="I8" s="1"/>
      <c r="J8" s="2"/>
    </row>
    <row r="9" spans="1:15" x14ac:dyDescent="0.3">
      <c r="A9" s="1">
        <v>8</v>
      </c>
      <c r="B9" s="2">
        <v>51</v>
      </c>
      <c r="C9" s="18">
        <f t="shared" si="3"/>
        <v>5</v>
      </c>
      <c r="D9" s="1">
        <f t="shared" si="0"/>
        <v>54.5</v>
      </c>
      <c r="E9" s="1">
        <f t="shared" si="1"/>
        <v>455.5</v>
      </c>
      <c r="F9" s="1">
        <f t="shared" si="4"/>
        <v>1.5</v>
      </c>
      <c r="G9" s="1">
        <f t="shared" si="5"/>
        <v>0</v>
      </c>
      <c r="H9" s="18">
        <f t="shared" si="2"/>
        <v>5</v>
      </c>
      <c r="I9" s="1"/>
      <c r="J9" s="2"/>
    </row>
    <row r="10" spans="1:15" x14ac:dyDescent="0.3">
      <c r="A10" s="1">
        <v>9</v>
      </c>
      <c r="B10" s="2">
        <v>52</v>
      </c>
      <c r="C10" s="18">
        <f t="shared" si="3"/>
        <v>7</v>
      </c>
      <c r="D10" s="1">
        <f t="shared" si="0"/>
        <v>55</v>
      </c>
      <c r="E10" s="1">
        <f t="shared" si="1"/>
        <v>455</v>
      </c>
      <c r="F10" s="1">
        <f t="shared" si="4"/>
        <v>3</v>
      </c>
      <c r="G10" s="1">
        <f t="shared" si="5"/>
        <v>0</v>
      </c>
      <c r="H10" s="18">
        <f t="shared" si="2"/>
        <v>5</v>
      </c>
      <c r="I10" s="1"/>
      <c r="J10" s="2"/>
    </row>
    <row r="11" spans="1:15" x14ac:dyDescent="0.3">
      <c r="A11" s="1">
        <v>10</v>
      </c>
      <c r="B11" s="2">
        <v>48</v>
      </c>
      <c r="C11" s="18">
        <f t="shared" si="3"/>
        <v>5</v>
      </c>
      <c r="D11" s="1">
        <f t="shared" si="0"/>
        <v>55.5</v>
      </c>
      <c r="E11" s="1">
        <f t="shared" si="1"/>
        <v>454.5</v>
      </c>
      <c r="F11" s="1">
        <f t="shared" si="4"/>
        <v>0.5</v>
      </c>
      <c r="G11" s="1">
        <f t="shared" si="5"/>
        <v>1.5</v>
      </c>
      <c r="H11" s="18">
        <f t="shared" si="2"/>
        <v>5</v>
      </c>
      <c r="I11" s="1"/>
      <c r="J11" s="2"/>
    </row>
    <row r="12" spans="1:15" x14ac:dyDescent="0.3">
      <c r="A12" s="1">
        <v>11</v>
      </c>
      <c r="B12" s="2">
        <v>51</v>
      </c>
      <c r="C12" s="18">
        <f t="shared" si="3"/>
        <v>6</v>
      </c>
      <c r="D12" s="1">
        <f t="shared" si="0"/>
        <v>56</v>
      </c>
      <c r="E12" s="1">
        <f t="shared" si="1"/>
        <v>454</v>
      </c>
      <c r="F12" s="1">
        <f t="shared" si="4"/>
        <v>1</v>
      </c>
      <c r="G12" s="1">
        <f t="shared" si="5"/>
        <v>0</v>
      </c>
      <c r="H12" s="18">
        <f t="shared" si="2"/>
        <v>5</v>
      </c>
      <c r="I12" s="1"/>
      <c r="J12" s="2"/>
    </row>
    <row r="13" spans="1:15" x14ac:dyDescent="0.3">
      <c r="A13" s="1">
        <v>12</v>
      </c>
      <c r="B13" s="2">
        <v>50</v>
      </c>
      <c r="C13" s="18">
        <f t="shared" si="3"/>
        <v>6</v>
      </c>
      <c r="D13" s="1">
        <f t="shared" si="0"/>
        <v>56.5</v>
      </c>
      <c r="E13" s="1">
        <f t="shared" si="1"/>
        <v>453.5</v>
      </c>
      <c r="F13" s="1">
        <f t="shared" si="4"/>
        <v>0.5</v>
      </c>
      <c r="G13" s="1">
        <f t="shared" si="5"/>
        <v>0</v>
      </c>
      <c r="H13" s="18">
        <f t="shared" si="2"/>
        <v>5</v>
      </c>
      <c r="I13" s="1"/>
      <c r="J13" s="2"/>
    </row>
    <row r="14" spans="1:15" x14ac:dyDescent="0.3">
      <c r="A14" s="1">
        <v>13</v>
      </c>
      <c r="B14" s="2">
        <v>52</v>
      </c>
      <c r="C14" s="18">
        <f t="shared" si="3"/>
        <v>8</v>
      </c>
      <c r="D14" s="1">
        <f t="shared" si="0"/>
        <v>57</v>
      </c>
      <c r="E14" s="1">
        <f t="shared" si="1"/>
        <v>453</v>
      </c>
      <c r="F14" s="1">
        <f t="shared" si="4"/>
        <v>2</v>
      </c>
      <c r="G14" s="1">
        <f t="shared" si="5"/>
        <v>0</v>
      </c>
      <c r="H14" s="18">
        <f t="shared" si="2"/>
        <v>5</v>
      </c>
      <c r="I14" s="1"/>
      <c r="J14" s="2"/>
    </row>
    <row r="15" spans="1:15" x14ac:dyDescent="0.3">
      <c r="A15" s="1">
        <v>14</v>
      </c>
      <c r="B15" s="2">
        <v>53</v>
      </c>
      <c r="C15" s="18">
        <f t="shared" si="3"/>
        <v>11</v>
      </c>
      <c r="D15" s="1">
        <f t="shared" si="0"/>
        <v>57.5</v>
      </c>
      <c r="E15" s="1">
        <f t="shared" si="1"/>
        <v>452.5</v>
      </c>
      <c r="F15" s="1">
        <f t="shared" si="4"/>
        <v>4.5</v>
      </c>
      <c r="G15" s="1">
        <f t="shared" si="5"/>
        <v>0</v>
      </c>
      <c r="H15" s="18">
        <f t="shared" si="2"/>
        <v>5</v>
      </c>
      <c r="I15" s="1"/>
      <c r="J15" s="2"/>
    </row>
    <row r="16" spans="1:15" x14ac:dyDescent="0.3">
      <c r="A16" s="1">
        <v>15</v>
      </c>
      <c r="B16" s="2">
        <v>52</v>
      </c>
      <c r="C16" s="18">
        <f t="shared" si="3"/>
        <v>13</v>
      </c>
      <c r="D16" s="1">
        <f t="shared" si="0"/>
        <v>58</v>
      </c>
      <c r="E16" s="1">
        <f t="shared" si="1"/>
        <v>452</v>
      </c>
      <c r="F16" s="1">
        <f t="shared" si="4"/>
        <v>6</v>
      </c>
      <c r="G16" s="1">
        <f t="shared" si="5"/>
        <v>0</v>
      </c>
      <c r="H16" s="18">
        <f t="shared" si="2"/>
        <v>5</v>
      </c>
      <c r="I16" s="1"/>
      <c r="J16" s="2"/>
    </row>
    <row r="17" spans="1:10" x14ac:dyDescent="0.3">
      <c r="A17" s="1">
        <v>16</v>
      </c>
      <c r="B17" s="2">
        <v>52</v>
      </c>
      <c r="C17" s="18">
        <f t="shared" si="3"/>
        <v>15</v>
      </c>
      <c r="D17" s="1">
        <f t="shared" si="0"/>
        <v>58.5</v>
      </c>
      <c r="E17" s="1">
        <f t="shared" si="1"/>
        <v>451.5</v>
      </c>
      <c r="F17" s="1">
        <f t="shared" si="4"/>
        <v>7.5</v>
      </c>
      <c r="G17" s="1">
        <f t="shared" si="5"/>
        <v>0</v>
      </c>
      <c r="H17" s="18">
        <f t="shared" si="2"/>
        <v>5</v>
      </c>
      <c r="I17" s="1"/>
      <c r="J17" s="2"/>
    </row>
    <row r="18" spans="1:10" x14ac:dyDescent="0.3">
      <c r="A18" s="1">
        <v>17</v>
      </c>
      <c r="B18" s="2">
        <v>47</v>
      </c>
      <c r="C18" s="18">
        <f t="shared" si="3"/>
        <v>12</v>
      </c>
      <c r="D18" s="1">
        <f t="shared" si="0"/>
        <v>59</v>
      </c>
      <c r="E18" s="1">
        <f t="shared" si="1"/>
        <v>451</v>
      </c>
      <c r="F18" s="1">
        <f t="shared" si="4"/>
        <v>4</v>
      </c>
      <c r="G18" s="1">
        <f t="shared" si="5"/>
        <v>2.5</v>
      </c>
      <c r="H18" s="18">
        <f t="shared" si="2"/>
        <v>5</v>
      </c>
      <c r="I18" s="1"/>
      <c r="J18" s="2"/>
    </row>
    <row r="19" spans="1:10" x14ac:dyDescent="0.3">
      <c r="A19" s="1">
        <v>18</v>
      </c>
      <c r="B19" s="2">
        <v>53</v>
      </c>
      <c r="C19" s="18">
        <f t="shared" si="3"/>
        <v>15</v>
      </c>
      <c r="D19" s="1">
        <f t="shared" si="0"/>
        <v>59.5</v>
      </c>
      <c r="E19" s="1">
        <f t="shared" si="1"/>
        <v>450.5</v>
      </c>
      <c r="F19" s="1">
        <f t="shared" si="4"/>
        <v>6.5</v>
      </c>
      <c r="G19" s="1">
        <f t="shared" si="5"/>
        <v>0</v>
      </c>
      <c r="H19" s="18">
        <f t="shared" si="2"/>
        <v>5</v>
      </c>
      <c r="I19" s="1"/>
      <c r="J19" s="2"/>
    </row>
    <row r="20" spans="1:10" x14ac:dyDescent="0.3">
      <c r="A20" s="1">
        <v>19</v>
      </c>
      <c r="B20" s="2">
        <v>50</v>
      </c>
      <c r="C20" s="18">
        <f t="shared" si="3"/>
        <v>15</v>
      </c>
      <c r="D20" s="1">
        <f t="shared" si="0"/>
        <v>60</v>
      </c>
      <c r="E20" s="1">
        <f t="shared" si="1"/>
        <v>450</v>
      </c>
      <c r="F20" s="1">
        <f t="shared" si="4"/>
        <v>6</v>
      </c>
      <c r="G20" s="1">
        <f t="shared" si="5"/>
        <v>0</v>
      </c>
      <c r="H20" s="18">
        <f t="shared" si="2"/>
        <v>5</v>
      </c>
      <c r="I20" s="1"/>
      <c r="J20" s="2"/>
    </row>
    <row r="21" spans="1:10" x14ac:dyDescent="0.3">
      <c r="A21" s="1">
        <v>20</v>
      </c>
      <c r="B21" s="2">
        <v>53</v>
      </c>
      <c r="C21" s="18">
        <f t="shared" si="3"/>
        <v>18</v>
      </c>
      <c r="D21" s="1">
        <f t="shared" si="0"/>
        <v>60.5</v>
      </c>
      <c r="E21" s="1">
        <f t="shared" si="1"/>
        <v>449.5</v>
      </c>
      <c r="F21" s="1">
        <f t="shared" si="4"/>
        <v>8.5</v>
      </c>
      <c r="G21" s="1">
        <f t="shared" si="5"/>
        <v>0</v>
      </c>
      <c r="H21" s="18">
        <f t="shared" si="2"/>
        <v>5</v>
      </c>
      <c r="I21" s="1"/>
      <c r="J21" s="2"/>
    </row>
    <row r="22" spans="1:10" x14ac:dyDescent="0.3">
      <c r="A22" s="1">
        <v>21</v>
      </c>
      <c r="B22" s="2">
        <v>47</v>
      </c>
      <c r="C22" s="18">
        <f t="shared" si="3"/>
        <v>15</v>
      </c>
      <c r="D22" s="1">
        <f t="shared" si="0"/>
        <v>61</v>
      </c>
      <c r="E22" s="1">
        <f t="shared" si="1"/>
        <v>449</v>
      </c>
      <c r="F22" s="1">
        <f t="shared" si="4"/>
        <v>5</v>
      </c>
      <c r="G22" s="1">
        <f t="shared" si="5"/>
        <v>2.5</v>
      </c>
      <c r="H22" s="18">
        <f t="shared" si="2"/>
        <v>5</v>
      </c>
      <c r="I22" s="1"/>
      <c r="J22" s="2"/>
    </row>
    <row r="23" spans="1:10" x14ac:dyDescent="0.3">
      <c r="A23" s="1">
        <v>22</v>
      </c>
      <c r="B23" s="2">
        <v>53</v>
      </c>
      <c r="C23" s="18">
        <f t="shared" si="3"/>
        <v>18</v>
      </c>
      <c r="D23" s="1">
        <f t="shared" si="0"/>
        <v>61.5</v>
      </c>
      <c r="E23" s="1">
        <f t="shared" si="1"/>
        <v>448.5</v>
      </c>
      <c r="F23" s="1">
        <f t="shared" si="4"/>
        <v>7.5</v>
      </c>
      <c r="G23" s="1">
        <f t="shared" si="5"/>
        <v>0</v>
      </c>
      <c r="H23" s="18">
        <f t="shared" si="2"/>
        <v>5</v>
      </c>
      <c r="I23" s="1"/>
      <c r="J23" s="2"/>
    </row>
    <row r="24" spans="1:10" x14ac:dyDescent="0.3">
      <c r="A24" s="1">
        <v>23</v>
      </c>
      <c r="B24" s="2">
        <v>52</v>
      </c>
      <c r="C24" s="18">
        <f t="shared" si="3"/>
        <v>20</v>
      </c>
      <c r="D24" s="1">
        <f t="shared" si="0"/>
        <v>62</v>
      </c>
      <c r="E24" s="1">
        <f t="shared" si="1"/>
        <v>448</v>
      </c>
      <c r="F24" s="1">
        <f t="shared" si="4"/>
        <v>9</v>
      </c>
      <c r="G24" s="1">
        <f t="shared" si="5"/>
        <v>0</v>
      </c>
      <c r="H24" s="18">
        <f t="shared" si="2"/>
        <v>5</v>
      </c>
      <c r="I24" s="1"/>
      <c r="J24" s="2"/>
    </row>
    <row r="25" spans="1:10" x14ac:dyDescent="0.3">
      <c r="A25" s="1">
        <v>24</v>
      </c>
      <c r="B25" s="2">
        <v>52</v>
      </c>
      <c r="C25" s="18">
        <f t="shared" si="3"/>
        <v>22</v>
      </c>
      <c r="D25" s="1">
        <f t="shared" si="0"/>
        <v>62.5</v>
      </c>
      <c r="E25" s="1">
        <f t="shared" si="1"/>
        <v>447.5</v>
      </c>
      <c r="F25" s="1">
        <f t="shared" si="4"/>
        <v>10.5</v>
      </c>
      <c r="G25" s="1">
        <f t="shared" si="5"/>
        <v>0</v>
      </c>
      <c r="H25" s="18">
        <f t="shared" si="2"/>
        <v>5</v>
      </c>
      <c r="I25" s="1"/>
      <c r="J25" s="2"/>
    </row>
    <row r="26" spans="1:10" x14ac:dyDescent="0.3">
      <c r="A26" s="1">
        <v>25</v>
      </c>
      <c r="B26" s="2">
        <v>47</v>
      </c>
      <c r="C26" s="18">
        <f t="shared" si="3"/>
        <v>19</v>
      </c>
      <c r="D26" s="1">
        <f t="shared" si="0"/>
        <v>63</v>
      </c>
      <c r="E26" s="1">
        <f t="shared" si="1"/>
        <v>447</v>
      </c>
      <c r="F26" s="1">
        <f t="shared" si="4"/>
        <v>7</v>
      </c>
      <c r="G26" s="1">
        <f t="shared" si="5"/>
        <v>2.5</v>
      </c>
      <c r="H26" s="18">
        <f t="shared" si="2"/>
        <v>5</v>
      </c>
      <c r="I26" s="1"/>
      <c r="J26" s="2"/>
    </row>
    <row r="27" spans="1:10" x14ac:dyDescent="0.3">
      <c r="A27" s="1">
        <v>26</v>
      </c>
      <c r="B27" s="2">
        <v>48</v>
      </c>
      <c r="C27" s="18">
        <f t="shared" si="3"/>
        <v>17</v>
      </c>
      <c r="D27" s="1">
        <f t="shared" si="0"/>
        <v>63.5</v>
      </c>
      <c r="E27" s="1">
        <f t="shared" si="1"/>
        <v>446.5</v>
      </c>
      <c r="F27" s="1">
        <f t="shared" si="4"/>
        <v>4.5</v>
      </c>
      <c r="G27" s="1">
        <f t="shared" si="5"/>
        <v>4</v>
      </c>
      <c r="H27" s="18">
        <f t="shared" si="2"/>
        <v>5</v>
      </c>
      <c r="I27" s="1"/>
      <c r="J27" s="2"/>
    </row>
    <row r="28" spans="1:10" x14ac:dyDescent="0.3">
      <c r="A28" s="1">
        <v>27</v>
      </c>
      <c r="B28" s="2">
        <v>50</v>
      </c>
      <c r="C28" s="18">
        <f t="shared" si="3"/>
        <v>17</v>
      </c>
      <c r="D28" s="1">
        <f t="shared" si="0"/>
        <v>64</v>
      </c>
      <c r="E28" s="1">
        <f t="shared" si="1"/>
        <v>446</v>
      </c>
      <c r="F28" s="1">
        <f t="shared" si="4"/>
        <v>4</v>
      </c>
      <c r="G28" s="1">
        <f t="shared" si="5"/>
        <v>3.5</v>
      </c>
      <c r="H28" s="18">
        <f t="shared" si="2"/>
        <v>5</v>
      </c>
      <c r="I28" s="1"/>
      <c r="J28" s="2"/>
    </row>
    <row r="29" spans="1:10" x14ac:dyDescent="0.3">
      <c r="A29" s="1">
        <v>28</v>
      </c>
      <c r="B29" s="2">
        <v>47</v>
      </c>
      <c r="C29" s="18">
        <f t="shared" si="3"/>
        <v>14</v>
      </c>
      <c r="D29" s="1">
        <f t="shared" si="0"/>
        <v>64.5</v>
      </c>
      <c r="E29" s="1">
        <f t="shared" si="1"/>
        <v>445.5</v>
      </c>
      <c r="F29" s="1">
        <f t="shared" si="4"/>
        <v>0.5</v>
      </c>
      <c r="G29" s="1">
        <f t="shared" si="5"/>
        <v>6</v>
      </c>
      <c r="H29" s="18">
        <f t="shared" si="2"/>
        <v>5</v>
      </c>
      <c r="I29" s="1"/>
      <c r="J29" s="2"/>
    </row>
    <row r="30" spans="1:10" x14ac:dyDescent="0.3">
      <c r="A30" s="1">
        <v>29</v>
      </c>
      <c r="B30" s="2">
        <v>49</v>
      </c>
      <c r="C30" s="18">
        <f t="shared" si="3"/>
        <v>13</v>
      </c>
      <c r="D30" s="1">
        <f t="shared" si="0"/>
        <v>65</v>
      </c>
      <c r="E30" s="1">
        <f t="shared" si="1"/>
        <v>445</v>
      </c>
      <c r="F30" s="1">
        <f t="shared" si="4"/>
        <v>0</v>
      </c>
      <c r="G30" s="1">
        <f t="shared" si="5"/>
        <v>6.5</v>
      </c>
      <c r="H30" s="18">
        <f t="shared" si="2"/>
        <v>5</v>
      </c>
      <c r="I30" s="1"/>
      <c r="J30" s="2"/>
    </row>
    <row r="31" spans="1:10" x14ac:dyDescent="0.3">
      <c r="A31" s="1">
        <v>30</v>
      </c>
      <c r="B31" s="2">
        <v>50</v>
      </c>
      <c r="C31" s="18">
        <f t="shared" si="3"/>
        <v>13</v>
      </c>
      <c r="D31" s="1">
        <f t="shared" si="0"/>
        <v>65.5</v>
      </c>
      <c r="E31" s="1">
        <f t="shared" si="1"/>
        <v>444.5</v>
      </c>
      <c r="F31" s="1">
        <f t="shared" si="4"/>
        <v>0</v>
      </c>
      <c r="G31" s="1">
        <f t="shared" si="5"/>
        <v>6</v>
      </c>
      <c r="H31" s="18">
        <f t="shared" si="2"/>
        <v>5</v>
      </c>
      <c r="I31" s="1"/>
      <c r="J31" s="2"/>
    </row>
    <row r="32" spans="1:10" x14ac:dyDescent="0.3">
      <c r="A32" s="1">
        <v>31</v>
      </c>
      <c r="B32" s="2">
        <v>50</v>
      </c>
      <c r="C32" s="18">
        <f t="shared" si="3"/>
        <v>13</v>
      </c>
      <c r="D32" s="1">
        <f t="shared" si="0"/>
        <v>66</v>
      </c>
      <c r="E32" s="1">
        <f t="shared" si="1"/>
        <v>444</v>
      </c>
      <c r="F32" s="1">
        <f t="shared" si="4"/>
        <v>0</v>
      </c>
      <c r="G32" s="1">
        <f t="shared" si="5"/>
        <v>5.5</v>
      </c>
      <c r="H32" s="18">
        <f t="shared" si="2"/>
        <v>5</v>
      </c>
      <c r="I32" s="1"/>
      <c r="J32" s="2"/>
    </row>
    <row r="33" spans="1:10" x14ac:dyDescent="0.3">
      <c r="A33" s="1">
        <v>32</v>
      </c>
      <c r="B33" s="2">
        <v>47</v>
      </c>
      <c r="C33" s="18">
        <f t="shared" si="3"/>
        <v>10</v>
      </c>
      <c r="D33" s="1">
        <f t="shared" si="0"/>
        <v>66.5</v>
      </c>
      <c r="E33" s="1">
        <f t="shared" si="1"/>
        <v>443.5</v>
      </c>
      <c r="F33" s="1">
        <f t="shared" si="4"/>
        <v>0</v>
      </c>
      <c r="G33" s="1">
        <f t="shared" si="5"/>
        <v>8</v>
      </c>
      <c r="H33" s="18">
        <f t="shared" si="2"/>
        <v>5</v>
      </c>
      <c r="I33" s="1"/>
      <c r="J33" s="2"/>
    </row>
    <row r="34" spans="1:10" x14ac:dyDescent="0.3">
      <c r="A34" s="1">
        <v>33</v>
      </c>
      <c r="B34" s="2">
        <v>51</v>
      </c>
      <c r="C34" s="18">
        <f t="shared" si="3"/>
        <v>11</v>
      </c>
      <c r="D34" s="1">
        <f t="shared" si="0"/>
        <v>67</v>
      </c>
      <c r="E34" s="1">
        <f t="shared" si="1"/>
        <v>443</v>
      </c>
      <c r="F34" s="1">
        <f t="shared" si="4"/>
        <v>0.5</v>
      </c>
      <c r="G34" s="1">
        <f t="shared" si="5"/>
        <v>6.5</v>
      </c>
      <c r="H34" s="18">
        <f t="shared" si="2"/>
        <v>5</v>
      </c>
      <c r="I34" s="1"/>
      <c r="J34" s="2"/>
    </row>
    <row r="35" spans="1:10" x14ac:dyDescent="0.3">
      <c r="A35" s="1">
        <v>34</v>
      </c>
      <c r="B35" s="2">
        <v>49</v>
      </c>
      <c r="C35" s="18">
        <f t="shared" si="3"/>
        <v>10</v>
      </c>
      <c r="D35" s="1">
        <f t="shared" si="0"/>
        <v>67.5</v>
      </c>
      <c r="E35" s="1">
        <f t="shared" si="1"/>
        <v>442.5</v>
      </c>
      <c r="F35" s="1">
        <f t="shared" si="4"/>
        <v>0</v>
      </c>
      <c r="G35" s="1">
        <f t="shared" si="5"/>
        <v>7</v>
      </c>
      <c r="H35" s="18">
        <f t="shared" si="2"/>
        <v>5</v>
      </c>
      <c r="I35" s="1"/>
      <c r="J35" s="2"/>
    </row>
    <row r="36" spans="1:10" x14ac:dyDescent="0.3">
      <c r="A36" s="1">
        <v>35</v>
      </c>
      <c r="B36" s="2">
        <v>49</v>
      </c>
      <c r="C36" s="18">
        <f t="shared" si="3"/>
        <v>9</v>
      </c>
      <c r="D36" s="1">
        <f t="shared" si="0"/>
        <v>68</v>
      </c>
      <c r="E36" s="1">
        <f t="shared" si="1"/>
        <v>442</v>
      </c>
      <c r="F36" s="1">
        <f t="shared" si="4"/>
        <v>0</v>
      </c>
      <c r="G36" s="1">
        <f t="shared" si="5"/>
        <v>7.5</v>
      </c>
      <c r="H36" s="18">
        <f t="shared" si="2"/>
        <v>5</v>
      </c>
      <c r="I36" s="1"/>
      <c r="J36" s="2"/>
    </row>
    <row r="37" spans="1:10" x14ac:dyDescent="0.3">
      <c r="A37" s="1">
        <v>36</v>
      </c>
      <c r="B37" s="2">
        <v>49</v>
      </c>
      <c r="C37" s="18">
        <f t="shared" si="3"/>
        <v>8</v>
      </c>
      <c r="D37" s="1">
        <f t="shared" si="0"/>
        <v>68.5</v>
      </c>
      <c r="E37" s="1">
        <f t="shared" si="1"/>
        <v>441.5</v>
      </c>
      <c r="F37" s="1">
        <f t="shared" si="4"/>
        <v>0</v>
      </c>
      <c r="G37" s="1">
        <f t="shared" si="5"/>
        <v>8</v>
      </c>
      <c r="H37" s="18">
        <f t="shared" si="2"/>
        <v>5</v>
      </c>
      <c r="I37" s="1"/>
      <c r="J37" s="2"/>
    </row>
    <row r="38" spans="1:10" x14ac:dyDescent="0.3">
      <c r="A38" s="1">
        <v>37</v>
      </c>
      <c r="B38" s="2">
        <v>48</v>
      </c>
      <c r="C38" s="18">
        <f t="shared" si="3"/>
        <v>6</v>
      </c>
      <c r="D38" s="1">
        <f t="shared" si="0"/>
        <v>69</v>
      </c>
      <c r="E38" s="1">
        <f t="shared" si="1"/>
        <v>441</v>
      </c>
      <c r="F38" s="1">
        <f t="shared" si="4"/>
        <v>0</v>
      </c>
      <c r="G38" s="1">
        <f t="shared" si="5"/>
        <v>9.5</v>
      </c>
      <c r="H38" s="18">
        <f t="shared" si="2"/>
        <v>5</v>
      </c>
      <c r="I38" s="1"/>
      <c r="J38" s="2"/>
    </row>
    <row r="39" spans="1:10" x14ac:dyDescent="0.3">
      <c r="A39" s="1">
        <v>38</v>
      </c>
      <c r="B39" s="2">
        <v>51</v>
      </c>
      <c r="C39" s="18">
        <f t="shared" si="3"/>
        <v>7</v>
      </c>
      <c r="D39" s="1">
        <f t="shared" si="0"/>
        <v>69.5</v>
      </c>
      <c r="E39" s="1">
        <f t="shared" si="1"/>
        <v>440.5</v>
      </c>
      <c r="F39" s="1">
        <f t="shared" si="4"/>
        <v>0.5</v>
      </c>
      <c r="G39" s="1">
        <f t="shared" si="5"/>
        <v>8</v>
      </c>
      <c r="H39" s="18">
        <f t="shared" si="2"/>
        <v>5</v>
      </c>
      <c r="I39" s="1"/>
      <c r="J39" s="2"/>
    </row>
    <row r="40" spans="1:10" x14ac:dyDescent="0.3">
      <c r="A40" s="1">
        <v>39</v>
      </c>
      <c r="B40" s="2">
        <v>48</v>
      </c>
      <c r="C40" s="18">
        <f t="shared" si="3"/>
        <v>5</v>
      </c>
      <c r="D40" s="1">
        <f t="shared" si="0"/>
        <v>70</v>
      </c>
      <c r="E40" s="1">
        <f t="shared" si="1"/>
        <v>440</v>
      </c>
      <c r="F40" s="1">
        <f t="shared" si="4"/>
        <v>0</v>
      </c>
      <c r="G40" s="1">
        <f t="shared" si="5"/>
        <v>9.5</v>
      </c>
      <c r="H40" s="18">
        <f t="shared" si="2"/>
        <v>5</v>
      </c>
      <c r="I40" s="1"/>
      <c r="J40" s="2"/>
    </row>
    <row r="41" spans="1:10" x14ac:dyDescent="0.3">
      <c r="A41" s="1">
        <v>40</v>
      </c>
      <c r="B41" s="2">
        <v>52</v>
      </c>
      <c r="C41" s="18">
        <f t="shared" si="3"/>
        <v>7</v>
      </c>
      <c r="D41" s="1">
        <f t="shared" si="0"/>
        <v>70.5</v>
      </c>
      <c r="E41" s="1">
        <f t="shared" si="1"/>
        <v>439.5</v>
      </c>
      <c r="F41" s="1">
        <f t="shared" si="4"/>
        <v>1.5</v>
      </c>
      <c r="G41" s="1">
        <f t="shared" si="5"/>
        <v>7</v>
      </c>
      <c r="H41" s="18">
        <f t="shared" si="2"/>
        <v>5</v>
      </c>
      <c r="I41" s="1"/>
      <c r="J41" s="2"/>
    </row>
    <row r="42" spans="1:10" x14ac:dyDescent="0.3">
      <c r="A42" s="1">
        <v>41</v>
      </c>
      <c r="B42" s="2">
        <v>51</v>
      </c>
      <c r="C42" s="18">
        <f t="shared" si="3"/>
        <v>8</v>
      </c>
      <c r="D42" s="1">
        <f t="shared" si="0"/>
        <v>71</v>
      </c>
      <c r="E42" s="1">
        <f t="shared" si="1"/>
        <v>439</v>
      </c>
      <c r="F42" s="1">
        <f t="shared" si="4"/>
        <v>2</v>
      </c>
      <c r="G42" s="1">
        <f t="shared" si="5"/>
        <v>5.5</v>
      </c>
      <c r="H42" s="18">
        <f t="shared" si="2"/>
        <v>5</v>
      </c>
      <c r="I42" s="1"/>
      <c r="J42" s="2"/>
    </row>
    <row r="43" spans="1:10" x14ac:dyDescent="0.3">
      <c r="A43" s="1">
        <v>42</v>
      </c>
      <c r="B43" s="2">
        <v>47</v>
      </c>
      <c r="C43" s="18">
        <f t="shared" si="3"/>
        <v>5</v>
      </c>
      <c r="D43" s="1">
        <f t="shared" si="0"/>
        <v>71.5</v>
      </c>
      <c r="E43" s="1">
        <f t="shared" si="1"/>
        <v>438.5</v>
      </c>
      <c r="F43" s="1">
        <f t="shared" si="4"/>
        <v>0</v>
      </c>
      <c r="G43" s="1">
        <f t="shared" si="5"/>
        <v>8</v>
      </c>
      <c r="H43" s="18">
        <f t="shared" si="2"/>
        <v>5</v>
      </c>
      <c r="I43" s="1"/>
      <c r="J43" s="2"/>
    </row>
    <row r="44" spans="1:10" x14ac:dyDescent="0.3">
      <c r="A44" s="1">
        <v>43</v>
      </c>
      <c r="B44" s="2">
        <v>51</v>
      </c>
      <c r="C44" s="18">
        <f t="shared" si="3"/>
        <v>6</v>
      </c>
      <c r="D44" s="1">
        <f t="shared" si="0"/>
        <v>72</v>
      </c>
      <c r="E44" s="1">
        <f t="shared" si="1"/>
        <v>438</v>
      </c>
      <c r="F44" s="1">
        <f t="shared" si="4"/>
        <v>0.5</v>
      </c>
      <c r="G44" s="1">
        <f t="shared" si="5"/>
        <v>6.5</v>
      </c>
      <c r="H44" s="18">
        <f t="shared" si="2"/>
        <v>5</v>
      </c>
      <c r="I44" s="1"/>
      <c r="J44" s="2"/>
    </row>
    <row r="45" spans="1:10" x14ac:dyDescent="0.3">
      <c r="A45" s="1">
        <v>44</v>
      </c>
      <c r="B45" s="2">
        <v>48</v>
      </c>
      <c r="C45" s="18">
        <f t="shared" si="3"/>
        <v>4</v>
      </c>
      <c r="D45" s="1">
        <f t="shared" si="0"/>
        <v>72.5</v>
      </c>
      <c r="E45" s="1">
        <f t="shared" si="1"/>
        <v>437.5</v>
      </c>
      <c r="F45" s="1">
        <f t="shared" si="4"/>
        <v>0</v>
      </c>
      <c r="G45" s="1">
        <f t="shared" si="5"/>
        <v>8</v>
      </c>
      <c r="H45" s="18">
        <f t="shared" si="2"/>
        <v>5</v>
      </c>
      <c r="I45" s="1"/>
      <c r="J45" s="2"/>
    </row>
    <row r="46" spans="1:10" x14ac:dyDescent="0.3">
      <c r="A46" s="1">
        <v>45</v>
      </c>
      <c r="B46" s="2">
        <v>52</v>
      </c>
      <c r="C46" s="18">
        <f t="shared" si="3"/>
        <v>6</v>
      </c>
      <c r="D46" s="1">
        <f t="shared" si="0"/>
        <v>73</v>
      </c>
      <c r="E46" s="1">
        <f t="shared" si="1"/>
        <v>437</v>
      </c>
      <c r="F46" s="1">
        <f t="shared" si="4"/>
        <v>1.5</v>
      </c>
      <c r="G46" s="1">
        <f t="shared" si="5"/>
        <v>5.5</v>
      </c>
      <c r="H46" s="18">
        <f t="shared" si="2"/>
        <v>5</v>
      </c>
      <c r="I46" s="1"/>
      <c r="J46" s="2"/>
    </row>
    <row r="47" spans="1:10" x14ac:dyDescent="0.3">
      <c r="A47" s="1">
        <v>46</v>
      </c>
      <c r="B47" s="2">
        <v>51</v>
      </c>
      <c r="C47" s="18">
        <f t="shared" si="3"/>
        <v>7</v>
      </c>
      <c r="D47" s="1">
        <f t="shared" si="0"/>
        <v>73.5</v>
      </c>
      <c r="E47" s="1">
        <f t="shared" si="1"/>
        <v>436.5</v>
      </c>
      <c r="F47" s="1">
        <f t="shared" si="4"/>
        <v>2</v>
      </c>
      <c r="G47" s="1">
        <f t="shared" si="5"/>
        <v>4</v>
      </c>
      <c r="H47" s="18">
        <f t="shared" si="2"/>
        <v>5</v>
      </c>
      <c r="I47" s="1"/>
      <c r="J47" s="2"/>
    </row>
    <row r="48" spans="1:10" x14ac:dyDescent="0.3">
      <c r="A48" s="1">
        <v>47</v>
      </c>
      <c r="B48" s="2">
        <v>47</v>
      </c>
      <c r="C48" s="18">
        <f t="shared" si="3"/>
        <v>4</v>
      </c>
      <c r="D48" s="1">
        <f t="shared" si="0"/>
        <v>74</v>
      </c>
      <c r="E48" s="1">
        <f t="shared" si="1"/>
        <v>436</v>
      </c>
      <c r="F48" s="1">
        <f t="shared" si="4"/>
        <v>0</v>
      </c>
      <c r="G48" s="1">
        <f t="shared" si="5"/>
        <v>6.5</v>
      </c>
      <c r="H48" s="18">
        <f t="shared" si="2"/>
        <v>5</v>
      </c>
      <c r="I48" s="1"/>
      <c r="J48" s="2"/>
    </row>
    <row r="49" spans="1:10" x14ac:dyDescent="0.3">
      <c r="A49" s="1">
        <v>48</v>
      </c>
      <c r="B49" s="2">
        <v>48</v>
      </c>
      <c r="C49" s="18">
        <f t="shared" si="3"/>
        <v>2</v>
      </c>
      <c r="D49" s="1">
        <f t="shared" si="0"/>
        <v>74.5</v>
      </c>
      <c r="E49" s="1">
        <f t="shared" si="1"/>
        <v>435.5</v>
      </c>
      <c r="F49" s="1">
        <f t="shared" si="4"/>
        <v>0</v>
      </c>
      <c r="G49" s="1">
        <f t="shared" si="5"/>
        <v>8</v>
      </c>
      <c r="H49" s="18">
        <f t="shared" si="2"/>
        <v>5</v>
      </c>
      <c r="I49" s="1"/>
      <c r="J49" s="2"/>
    </row>
    <row r="50" spans="1:10" x14ac:dyDescent="0.3">
      <c r="A50" s="1">
        <v>49</v>
      </c>
      <c r="B50" s="2">
        <v>53</v>
      </c>
      <c r="C50" s="18">
        <f t="shared" si="3"/>
        <v>5</v>
      </c>
      <c r="D50" s="1">
        <f t="shared" si="0"/>
        <v>75</v>
      </c>
      <c r="E50" s="1">
        <f t="shared" si="1"/>
        <v>435</v>
      </c>
      <c r="F50" s="1">
        <f t="shared" si="4"/>
        <v>2.5</v>
      </c>
      <c r="G50" s="1">
        <f t="shared" si="5"/>
        <v>4.5</v>
      </c>
      <c r="H50" s="18">
        <f t="shared" si="2"/>
        <v>5</v>
      </c>
      <c r="I50" s="1"/>
      <c r="J50" s="2"/>
    </row>
    <row r="51" spans="1:10" x14ac:dyDescent="0.3">
      <c r="A51" s="1">
        <v>50</v>
      </c>
      <c r="B51" s="2">
        <v>54</v>
      </c>
      <c r="C51" s="18">
        <f t="shared" si="3"/>
        <v>9</v>
      </c>
      <c r="D51" s="1">
        <f t="shared" si="0"/>
        <v>75.5</v>
      </c>
      <c r="E51" s="1">
        <f t="shared" si="1"/>
        <v>434.5</v>
      </c>
      <c r="F51" s="1">
        <f t="shared" si="4"/>
        <v>6</v>
      </c>
      <c r="G51" s="1">
        <f t="shared" si="5"/>
        <v>0</v>
      </c>
      <c r="H51" s="18">
        <f t="shared" si="2"/>
        <v>5</v>
      </c>
      <c r="I51" s="1"/>
      <c r="J51" s="2"/>
    </row>
    <row r="52" spans="1:10" x14ac:dyDescent="0.3">
      <c r="A52" s="1">
        <v>51</v>
      </c>
      <c r="B52" s="2">
        <v>50</v>
      </c>
      <c r="C52" s="18">
        <f t="shared" si="3"/>
        <v>9</v>
      </c>
      <c r="D52" s="1">
        <f t="shared" si="0"/>
        <v>76</v>
      </c>
      <c r="E52" s="1">
        <f t="shared" si="1"/>
        <v>434</v>
      </c>
      <c r="F52" s="1">
        <f t="shared" si="4"/>
        <v>5.5</v>
      </c>
      <c r="G52" s="1">
        <f t="shared" si="5"/>
        <v>0</v>
      </c>
      <c r="H52" s="18">
        <f t="shared" si="2"/>
        <v>5</v>
      </c>
      <c r="I52" s="1"/>
      <c r="J52" s="2"/>
    </row>
    <row r="53" spans="1:10" x14ac:dyDescent="0.3">
      <c r="A53" s="1">
        <v>52</v>
      </c>
      <c r="B53" s="2">
        <v>53</v>
      </c>
      <c r="C53" s="18">
        <f t="shared" si="3"/>
        <v>12</v>
      </c>
      <c r="D53" s="1">
        <f t="shared" si="0"/>
        <v>76.5</v>
      </c>
      <c r="E53" s="1">
        <f t="shared" si="1"/>
        <v>433.5</v>
      </c>
      <c r="F53" s="1">
        <f t="shared" si="4"/>
        <v>8</v>
      </c>
      <c r="G53" s="1">
        <f t="shared" si="5"/>
        <v>0</v>
      </c>
      <c r="H53" s="18">
        <f t="shared" si="2"/>
        <v>5</v>
      </c>
      <c r="I53" s="1"/>
      <c r="J53" s="2"/>
    </row>
    <row r="54" spans="1:10" x14ac:dyDescent="0.3">
      <c r="A54" s="1">
        <v>53</v>
      </c>
      <c r="B54" s="2">
        <v>52</v>
      </c>
      <c r="C54" s="18">
        <f t="shared" si="3"/>
        <v>14</v>
      </c>
      <c r="D54" s="1">
        <f t="shared" si="0"/>
        <v>77</v>
      </c>
      <c r="E54" s="1">
        <f t="shared" si="1"/>
        <v>433</v>
      </c>
      <c r="F54" s="1">
        <f t="shared" si="4"/>
        <v>9.5</v>
      </c>
      <c r="G54" s="1">
        <f t="shared" si="5"/>
        <v>0</v>
      </c>
      <c r="H54" s="18">
        <f t="shared" si="2"/>
        <v>5</v>
      </c>
      <c r="I54" s="1"/>
      <c r="J54" s="2"/>
    </row>
    <row r="55" spans="1:10" x14ac:dyDescent="0.3">
      <c r="A55" s="1">
        <v>54</v>
      </c>
      <c r="B55" s="2">
        <v>54</v>
      </c>
      <c r="C55" s="18">
        <f t="shared" si="3"/>
        <v>18</v>
      </c>
      <c r="D55" s="1">
        <f t="shared" si="0"/>
        <v>77.5</v>
      </c>
      <c r="E55" s="1">
        <f t="shared" si="1"/>
        <v>432.5</v>
      </c>
      <c r="F55" s="1">
        <f t="shared" si="4"/>
        <v>13</v>
      </c>
      <c r="G55" s="1">
        <f t="shared" si="5"/>
        <v>0</v>
      </c>
      <c r="H55" s="18">
        <f t="shared" si="2"/>
        <v>5</v>
      </c>
      <c r="I55" s="1"/>
      <c r="J55" s="2"/>
    </row>
    <row r="56" spans="1:10" x14ac:dyDescent="0.3">
      <c r="A56" s="1">
        <v>55</v>
      </c>
      <c r="B56" s="2">
        <v>47</v>
      </c>
      <c r="C56" s="18">
        <f t="shared" si="3"/>
        <v>15</v>
      </c>
      <c r="D56" s="1">
        <f t="shared" si="0"/>
        <v>78</v>
      </c>
      <c r="E56" s="1">
        <f t="shared" si="1"/>
        <v>432</v>
      </c>
      <c r="F56" s="1">
        <f t="shared" si="4"/>
        <v>9.5</v>
      </c>
      <c r="G56" s="1">
        <f t="shared" si="5"/>
        <v>2.5</v>
      </c>
      <c r="H56" s="18">
        <f t="shared" si="2"/>
        <v>5</v>
      </c>
      <c r="I56" s="1"/>
      <c r="J56" s="2"/>
    </row>
    <row r="57" spans="1:10" x14ac:dyDescent="0.3">
      <c r="A57" s="1">
        <v>56</v>
      </c>
      <c r="B57" s="2">
        <v>52</v>
      </c>
      <c r="C57" s="18">
        <f t="shared" si="3"/>
        <v>17</v>
      </c>
      <c r="D57" s="1">
        <f t="shared" si="0"/>
        <v>78.5</v>
      </c>
      <c r="E57" s="1">
        <f t="shared" si="1"/>
        <v>431.5</v>
      </c>
      <c r="F57" s="1">
        <f t="shared" si="4"/>
        <v>11</v>
      </c>
      <c r="G57" s="1">
        <f t="shared" si="5"/>
        <v>0</v>
      </c>
      <c r="H57" s="18">
        <f t="shared" si="2"/>
        <v>5</v>
      </c>
      <c r="I57" s="1"/>
      <c r="J57" s="2"/>
    </row>
    <row r="58" spans="1:10" x14ac:dyDescent="0.3">
      <c r="A58" s="1">
        <v>57</v>
      </c>
      <c r="B58" s="2">
        <v>52</v>
      </c>
      <c r="C58" s="18">
        <f t="shared" si="3"/>
        <v>19</v>
      </c>
      <c r="D58" s="1">
        <f t="shared" si="0"/>
        <v>79</v>
      </c>
      <c r="E58" s="1">
        <f t="shared" si="1"/>
        <v>431</v>
      </c>
      <c r="F58" s="1">
        <f t="shared" si="4"/>
        <v>12.5</v>
      </c>
      <c r="G58" s="1">
        <f t="shared" si="5"/>
        <v>0</v>
      </c>
      <c r="H58" s="18">
        <f t="shared" si="2"/>
        <v>5</v>
      </c>
      <c r="I58" s="1"/>
      <c r="J58" s="2"/>
    </row>
    <row r="59" spans="1:10" x14ac:dyDescent="0.3">
      <c r="A59" s="1">
        <v>58</v>
      </c>
      <c r="B59" s="2">
        <v>52</v>
      </c>
      <c r="C59" s="18">
        <f t="shared" si="3"/>
        <v>21</v>
      </c>
      <c r="D59" s="1">
        <f t="shared" si="0"/>
        <v>79.5</v>
      </c>
      <c r="E59" s="1">
        <f t="shared" si="1"/>
        <v>430.5</v>
      </c>
      <c r="F59" s="1">
        <f t="shared" si="4"/>
        <v>14</v>
      </c>
      <c r="G59" s="1">
        <f t="shared" si="5"/>
        <v>0</v>
      </c>
      <c r="H59" s="18">
        <f t="shared" si="2"/>
        <v>5</v>
      </c>
      <c r="I59" s="1"/>
      <c r="J59" s="2"/>
    </row>
    <row r="60" spans="1:10" x14ac:dyDescent="0.3">
      <c r="A60" s="1">
        <v>59</v>
      </c>
      <c r="B60" s="2">
        <v>47</v>
      </c>
      <c r="C60" s="18">
        <f t="shared" si="3"/>
        <v>18</v>
      </c>
      <c r="D60" s="1">
        <f t="shared" si="0"/>
        <v>80</v>
      </c>
      <c r="E60" s="1">
        <f t="shared" si="1"/>
        <v>430</v>
      </c>
      <c r="F60" s="1">
        <f t="shared" si="4"/>
        <v>10.5</v>
      </c>
      <c r="G60" s="1">
        <f t="shared" si="5"/>
        <v>2.5</v>
      </c>
      <c r="H60" s="18">
        <f t="shared" si="2"/>
        <v>5</v>
      </c>
      <c r="I60" s="1"/>
      <c r="J60" s="2"/>
    </row>
    <row r="61" spans="1:10" x14ac:dyDescent="0.3">
      <c r="A61" s="1">
        <v>60</v>
      </c>
      <c r="B61" s="2">
        <v>52</v>
      </c>
      <c r="C61" s="18">
        <f t="shared" si="3"/>
        <v>20</v>
      </c>
      <c r="D61" s="1">
        <f t="shared" si="0"/>
        <v>80.5</v>
      </c>
      <c r="E61" s="1">
        <f t="shared" si="1"/>
        <v>429.5</v>
      </c>
      <c r="F61" s="1">
        <f t="shared" si="4"/>
        <v>12</v>
      </c>
      <c r="G61" s="1">
        <f t="shared" si="5"/>
        <v>0</v>
      </c>
      <c r="H61" s="18">
        <f t="shared" si="2"/>
        <v>5</v>
      </c>
      <c r="I61" s="1"/>
      <c r="J61" s="2"/>
    </row>
    <row r="62" spans="1:10" x14ac:dyDescent="0.3">
      <c r="A62" s="1">
        <v>61</v>
      </c>
      <c r="B62" s="2">
        <v>48</v>
      </c>
      <c r="C62" s="18">
        <f t="shared" si="3"/>
        <v>18</v>
      </c>
      <c r="D62" s="1">
        <f t="shared" si="0"/>
        <v>81</v>
      </c>
      <c r="E62" s="1">
        <f t="shared" si="1"/>
        <v>429</v>
      </c>
      <c r="F62" s="1">
        <f t="shared" si="4"/>
        <v>9.5</v>
      </c>
      <c r="G62" s="1">
        <f t="shared" si="5"/>
        <v>1.5</v>
      </c>
      <c r="H62" s="18">
        <f t="shared" si="2"/>
        <v>5</v>
      </c>
      <c r="I62" s="1"/>
      <c r="J62" s="2"/>
    </row>
    <row r="63" spans="1:10" x14ac:dyDescent="0.3">
      <c r="A63" s="1">
        <v>62</v>
      </c>
      <c r="B63" s="2">
        <v>52</v>
      </c>
      <c r="C63" s="18">
        <f t="shared" si="3"/>
        <v>20</v>
      </c>
      <c r="D63" s="1">
        <f t="shared" si="0"/>
        <v>81.5</v>
      </c>
      <c r="E63" s="1">
        <f t="shared" si="1"/>
        <v>428.5</v>
      </c>
      <c r="F63" s="1">
        <f t="shared" si="4"/>
        <v>11</v>
      </c>
      <c r="G63" s="1">
        <f t="shared" si="5"/>
        <v>0</v>
      </c>
      <c r="H63" s="18">
        <f t="shared" si="2"/>
        <v>5</v>
      </c>
      <c r="I63" s="1"/>
      <c r="J63" s="2"/>
    </row>
    <row r="64" spans="1:10" x14ac:dyDescent="0.3">
      <c r="A64" s="1">
        <v>63</v>
      </c>
      <c r="B64" s="2">
        <v>52</v>
      </c>
      <c r="C64" s="18">
        <f t="shared" si="3"/>
        <v>22</v>
      </c>
      <c r="D64" s="1">
        <f t="shared" si="0"/>
        <v>82</v>
      </c>
      <c r="E64" s="1">
        <f t="shared" si="1"/>
        <v>428</v>
      </c>
      <c r="F64" s="1">
        <f t="shared" si="4"/>
        <v>12.5</v>
      </c>
      <c r="G64" s="1">
        <f t="shared" si="5"/>
        <v>0</v>
      </c>
      <c r="H64" s="18">
        <f t="shared" si="2"/>
        <v>5</v>
      </c>
      <c r="I64" s="1"/>
      <c r="J64" s="2"/>
    </row>
    <row r="65" spans="1:10" x14ac:dyDescent="0.3">
      <c r="A65" s="1">
        <v>64</v>
      </c>
      <c r="B65" s="2">
        <v>51</v>
      </c>
      <c r="C65" s="18">
        <f t="shared" si="3"/>
        <v>23</v>
      </c>
      <c r="D65" s="1">
        <f t="shared" si="0"/>
        <v>82.5</v>
      </c>
      <c r="E65" s="1">
        <f t="shared" si="1"/>
        <v>427.5</v>
      </c>
      <c r="F65" s="1">
        <f t="shared" si="4"/>
        <v>13</v>
      </c>
      <c r="G65" s="1">
        <f t="shared" si="5"/>
        <v>0</v>
      </c>
      <c r="H65" s="18">
        <f t="shared" si="2"/>
        <v>5</v>
      </c>
      <c r="I65" s="1"/>
      <c r="J65" s="2"/>
    </row>
    <row r="66" spans="1:10" x14ac:dyDescent="0.3">
      <c r="A66" s="1">
        <v>65</v>
      </c>
      <c r="B66" s="2">
        <v>52</v>
      </c>
      <c r="C66" s="18">
        <f t="shared" si="3"/>
        <v>25</v>
      </c>
      <c r="D66" s="1">
        <f t="shared" ref="D66:D129" si="6">D67-$M$2</f>
        <v>83</v>
      </c>
      <c r="E66" s="1">
        <f t="shared" ref="E66:E129" si="7">E67+$M$2</f>
        <v>427</v>
      </c>
      <c r="F66" s="1">
        <f t="shared" si="4"/>
        <v>14.5</v>
      </c>
      <c r="G66" s="1">
        <f t="shared" si="5"/>
        <v>0</v>
      </c>
      <c r="H66" s="18">
        <f t="shared" si="2"/>
        <v>5</v>
      </c>
      <c r="I66" s="1"/>
      <c r="J66" s="2"/>
    </row>
    <row r="67" spans="1:10" x14ac:dyDescent="0.3">
      <c r="A67" s="1">
        <v>66</v>
      </c>
      <c r="B67" s="2">
        <v>48</v>
      </c>
      <c r="C67" s="18">
        <f t="shared" si="3"/>
        <v>23</v>
      </c>
      <c r="D67" s="1">
        <f t="shared" si="6"/>
        <v>83.5</v>
      </c>
      <c r="E67" s="1">
        <f t="shared" si="7"/>
        <v>426.5</v>
      </c>
      <c r="F67" s="1">
        <f t="shared" si="4"/>
        <v>12</v>
      </c>
      <c r="G67" s="1">
        <f t="shared" si="5"/>
        <v>1.5</v>
      </c>
      <c r="H67" s="18">
        <f t="shared" ref="H67:H130" si="8">$O$2</f>
        <v>5</v>
      </c>
      <c r="I67" s="1"/>
      <c r="J67" s="2"/>
    </row>
    <row r="68" spans="1:10" x14ac:dyDescent="0.3">
      <c r="A68" s="1">
        <v>67</v>
      </c>
      <c r="B68" s="2">
        <v>49</v>
      </c>
      <c r="C68" s="18">
        <f t="shared" ref="C68:C131" si="9">B68-L$2+C67</f>
        <v>22</v>
      </c>
      <c r="D68" s="1">
        <f t="shared" si="6"/>
        <v>84</v>
      </c>
      <c r="E68" s="1">
        <f t="shared" si="7"/>
        <v>426</v>
      </c>
      <c r="F68" s="1">
        <f t="shared" ref="F68:F131" si="10">MAX(0,B68-$L$2-$M$2+F67)</f>
        <v>10.5</v>
      </c>
      <c r="G68" s="1">
        <f t="shared" ref="G68:G131" si="11">MAX(0,$L$2-B68-$M$2+G67)</f>
        <v>2</v>
      </c>
      <c r="H68" s="18">
        <f t="shared" si="8"/>
        <v>5</v>
      </c>
      <c r="I68" s="1"/>
      <c r="J68" s="2"/>
    </row>
    <row r="69" spans="1:10" x14ac:dyDescent="0.3">
      <c r="A69" s="1">
        <v>68</v>
      </c>
      <c r="B69" s="2">
        <v>46</v>
      </c>
      <c r="C69" s="18">
        <f t="shared" si="9"/>
        <v>18</v>
      </c>
      <c r="D69" s="1">
        <f t="shared" si="6"/>
        <v>84.5</v>
      </c>
      <c r="E69" s="1">
        <f t="shared" si="7"/>
        <v>425.5</v>
      </c>
      <c r="F69" s="1">
        <f t="shared" si="10"/>
        <v>6</v>
      </c>
      <c r="G69" s="1">
        <f t="shared" si="11"/>
        <v>5.5</v>
      </c>
      <c r="H69" s="18">
        <f t="shared" si="8"/>
        <v>5</v>
      </c>
      <c r="I69" s="1"/>
      <c r="J69" s="2"/>
    </row>
    <row r="70" spans="1:10" x14ac:dyDescent="0.3">
      <c r="A70" s="1">
        <v>69</v>
      </c>
      <c r="B70" s="2">
        <v>46</v>
      </c>
      <c r="C70" s="18">
        <f t="shared" si="9"/>
        <v>14</v>
      </c>
      <c r="D70" s="1">
        <f t="shared" si="6"/>
        <v>85</v>
      </c>
      <c r="E70" s="1">
        <f t="shared" si="7"/>
        <v>425</v>
      </c>
      <c r="F70" s="1">
        <f t="shared" si="10"/>
        <v>1.5</v>
      </c>
      <c r="G70" s="1">
        <f t="shared" si="11"/>
        <v>9</v>
      </c>
      <c r="H70" s="18">
        <f t="shared" si="8"/>
        <v>5</v>
      </c>
      <c r="I70" s="1"/>
      <c r="J70" s="2"/>
    </row>
    <row r="71" spans="1:10" x14ac:dyDescent="0.3">
      <c r="A71" s="1">
        <v>70</v>
      </c>
      <c r="B71" s="2">
        <v>49</v>
      </c>
      <c r="C71" s="18">
        <f t="shared" si="9"/>
        <v>13</v>
      </c>
      <c r="D71" s="1">
        <f t="shared" si="6"/>
        <v>85.5</v>
      </c>
      <c r="E71" s="1">
        <f t="shared" si="7"/>
        <v>424.5</v>
      </c>
      <c r="F71" s="1">
        <f t="shared" si="10"/>
        <v>0</v>
      </c>
      <c r="G71" s="1">
        <f t="shared" si="11"/>
        <v>9.5</v>
      </c>
      <c r="H71" s="18">
        <f t="shared" si="8"/>
        <v>5</v>
      </c>
      <c r="I71" s="1"/>
      <c r="J71" s="2"/>
    </row>
    <row r="72" spans="1:10" x14ac:dyDescent="0.3">
      <c r="A72" s="1">
        <v>71</v>
      </c>
      <c r="B72" s="2">
        <v>54</v>
      </c>
      <c r="C72" s="18">
        <f t="shared" si="9"/>
        <v>17</v>
      </c>
      <c r="D72" s="1">
        <f t="shared" si="6"/>
        <v>86</v>
      </c>
      <c r="E72" s="1">
        <f t="shared" si="7"/>
        <v>424</v>
      </c>
      <c r="F72" s="1">
        <f t="shared" si="10"/>
        <v>3.5</v>
      </c>
      <c r="G72" s="1">
        <f t="shared" si="11"/>
        <v>5</v>
      </c>
      <c r="H72" s="18">
        <f t="shared" si="8"/>
        <v>5</v>
      </c>
      <c r="I72" s="1"/>
      <c r="J72" s="2"/>
    </row>
    <row r="73" spans="1:10" x14ac:dyDescent="0.3">
      <c r="A73" s="1">
        <v>72</v>
      </c>
      <c r="B73" s="2">
        <v>49</v>
      </c>
      <c r="C73" s="18">
        <f t="shared" si="9"/>
        <v>16</v>
      </c>
      <c r="D73" s="1">
        <f t="shared" si="6"/>
        <v>86.5</v>
      </c>
      <c r="E73" s="1">
        <f t="shared" si="7"/>
        <v>423.5</v>
      </c>
      <c r="F73" s="1">
        <f t="shared" si="10"/>
        <v>2</v>
      </c>
      <c r="G73" s="1">
        <f t="shared" si="11"/>
        <v>5.5</v>
      </c>
      <c r="H73" s="18">
        <f t="shared" si="8"/>
        <v>5</v>
      </c>
      <c r="I73" s="1"/>
      <c r="J73" s="2"/>
    </row>
    <row r="74" spans="1:10" x14ac:dyDescent="0.3">
      <c r="A74" s="1">
        <v>73</v>
      </c>
      <c r="B74" s="2">
        <v>46</v>
      </c>
      <c r="C74" s="18">
        <f t="shared" si="9"/>
        <v>12</v>
      </c>
      <c r="D74" s="1">
        <f t="shared" si="6"/>
        <v>87</v>
      </c>
      <c r="E74" s="1">
        <f t="shared" si="7"/>
        <v>423</v>
      </c>
      <c r="F74" s="1">
        <f t="shared" si="10"/>
        <v>0</v>
      </c>
      <c r="G74" s="1">
        <f t="shared" si="11"/>
        <v>9</v>
      </c>
      <c r="H74" s="18">
        <f t="shared" si="8"/>
        <v>5</v>
      </c>
      <c r="I74" s="1"/>
      <c r="J74" s="2"/>
    </row>
    <row r="75" spans="1:10" x14ac:dyDescent="0.3">
      <c r="A75" s="1">
        <v>74</v>
      </c>
      <c r="B75" s="2">
        <v>47</v>
      </c>
      <c r="C75" s="18">
        <f t="shared" si="9"/>
        <v>9</v>
      </c>
      <c r="D75" s="1">
        <f t="shared" si="6"/>
        <v>87.5</v>
      </c>
      <c r="E75" s="1">
        <f t="shared" si="7"/>
        <v>422.5</v>
      </c>
      <c r="F75" s="1">
        <f t="shared" si="10"/>
        <v>0</v>
      </c>
      <c r="G75" s="1">
        <f t="shared" si="11"/>
        <v>11.5</v>
      </c>
      <c r="H75" s="18">
        <f t="shared" si="8"/>
        <v>5</v>
      </c>
      <c r="I75" s="1"/>
      <c r="J75" s="2"/>
    </row>
    <row r="76" spans="1:10" x14ac:dyDescent="0.3">
      <c r="A76" s="1">
        <v>75</v>
      </c>
      <c r="B76" s="2">
        <v>51</v>
      </c>
      <c r="C76" s="18">
        <f t="shared" si="9"/>
        <v>10</v>
      </c>
      <c r="D76" s="1">
        <f t="shared" si="6"/>
        <v>88</v>
      </c>
      <c r="E76" s="1">
        <f t="shared" si="7"/>
        <v>422</v>
      </c>
      <c r="F76" s="1">
        <f t="shared" si="10"/>
        <v>0.5</v>
      </c>
      <c r="G76" s="1">
        <f t="shared" si="11"/>
        <v>10</v>
      </c>
      <c r="H76" s="18">
        <f t="shared" si="8"/>
        <v>5</v>
      </c>
      <c r="I76" s="1"/>
      <c r="J76" s="2"/>
    </row>
    <row r="77" spans="1:10" x14ac:dyDescent="0.3">
      <c r="A77" s="1">
        <v>76</v>
      </c>
      <c r="B77" s="2">
        <v>49</v>
      </c>
      <c r="C77" s="18">
        <f t="shared" si="9"/>
        <v>9</v>
      </c>
      <c r="D77" s="1">
        <f t="shared" si="6"/>
        <v>88.5</v>
      </c>
      <c r="E77" s="1">
        <f t="shared" si="7"/>
        <v>421.5</v>
      </c>
      <c r="F77" s="1">
        <f t="shared" si="10"/>
        <v>0</v>
      </c>
      <c r="G77" s="1">
        <f t="shared" si="11"/>
        <v>10.5</v>
      </c>
      <c r="H77" s="18">
        <f t="shared" si="8"/>
        <v>5</v>
      </c>
      <c r="I77" s="1"/>
      <c r="J77" s="2"/>
    </row>
    <row r="78" spans="1:10" x14ac:dyDescent="0.3">
      <c r="A78" s="1">
        <v>77</v>
      </c>
      <c r="B78" s="2">
        <v>52</v>
      </c>
      <c r="C78" s="18">
        <f t="shared" si="9"/>
        <v>11</v>
      </c>
      <c r="D78" s="1">
        <f t="shared" si="6"/>
        <v>89</v>
      </c>
      <c r="E78" s="1">
        <f t="shared" si="7"/>
        <v>421</v>
      </c>
      <c r="F78" s="1">
        <f t="shared" si="10"/>
        <v>1.5</v>
      </c>
      <c r="G78" s="1">
        <f t="shared" si="11"/>
        <v>8</v>
      </c>
      <c r="H78" s="18">
        <f t="shared" si="8"/>
        <v>5</v>
      </c>
      <c r="I78" s="1"/>
      <c r="J78" s="2"/>
    </row>
    <row r="79" spans="1:10" x14ac:dyDescent="0.3">
      <c r="A79" s="1">
        <v>78</v>
      </c>
      <c r="B79" s="2">
        <v>50</v>
      </c>
      <c r="C79" s="18">
        <f t="shared" si="9"/>
        <v>11</v>
      </c>
      <c r="D79" s="1">
        <f t="shared" si="6"/>
        <v>89.5</v>
      </c>
      <c r="E79" s="1">
        <f t="shared" si="7"/>
        <v>420.5</v>
      </c>
      <c r="F79" s="1">
        <f t="shared" si="10"/>
        <v>1</v>
      </c>
      <c r="G79" s="1">
        <f t="shared" si="11"/>
        <v>7.5</v>
      </c>
      <c r="H79" s="18">
        <f t="shared" si="8"/>
        <v>5</v>
      </c>
      <c r="I79" s="1"/>
      <c r="J79" s="2"/>
    </row>
    <row r="80" spans="1:10" x14ac:dyDescent="0.3">
      <c r="A80" s="1">
        <v>79</v>
      </c>
      <c r="B80" s="2">
        <v>54</v>
      </c>
      <c r="C80" s="18">
        <f t="shared" si="9"/>
        <v>15</v>
      </c>
      <c r="D80" s="1">
        <f t="shared" si="6"/>
        <v>90</v>
      </c>
      <c r="E80" s="1">
        <f t="shared" si="7"/>
        <v>420</v>
      </c>
      <c r="F80" s="1">
        <f t="shared" si="10"/>
        <v>4.5</v>
      </c>
      <c r="G80" s="1">
        <f t="shared" si="11"/>
        <v>3</v>
      </c>
      <c r="H80" s="18">
        <f t="shared" si="8"/>
        <v>5</v>
      </c>
      <c r="I80" s="1"/>
      <c r="J80" s="2"/>
    </row>
    <row r="81" spans="1:10" x14ac:dyDescent="0.3">
      <c r="A81" s="1">
        <v>80</v>
      </c>
      <c r="B81" s="2">
        <v>51</v>
      </c>
      <c r="C81" s="18">
        <f t="shared" si="9"/>
        <v>16</v>
      </c>
      <c r="D81" s="1">
        <f t="shared" si="6"/>
        <v>90.5</v>
      </c>
      <c r="E81" s="1">
        <f t="shared" si="7"/>
        <v>419.5</v>
      </c>
      <c r="F81" s="1">
        <f t="shared" si="10"/>
        <v>5</v>
      </c>
      <c r="G81" s="1">
        <f t="shared" si="11"/>
        <v>1.5</v>
      </c>
      <c r="H81" s="18">
        <f t="shared" si="8"/>
        <v>5</v>
      </c>
      <c r="I81" s="1"/>
      <c r="J81" s="2"/>
    </row>
    <row r="82" spans="1:10" x14ac:dyDescent="0.3">
      <c r="A82" s="1">
        <v>81</v>
      </c>
      <c r="B82" s="2">
        <v>50</v>
      </c>
      <c r="C82" s="18">
        <f t="shared" si="9"/>
        <v>16</v>
      </c>
      <c r="D82" s="1">
        <f t="shared" si="6"/>
        <v>91</v>
      </c>
      <c r="E82" s="1">
        <f t="shared" si="7"/>
        <v>419</v>
      </c>
      <c r="F82" s="1">
        <f t="shared" si="10"/>
        <v>4.5</v>
      </c>
      <c r="G82" s="1">
        <f t="shared" si="11"/>
        <v>1</v>
      </c>
      <c r="H82" s="18">
        <f t="shared" si="8"/>
        <v>5</v>
      </c>
      <c r="I82" s="1"/>
      <c r="J82" s="2"/>
    </row>
    <row r="83" spans="1:10" x14ac:dyDescent="0.3">
      <c r="A83" s="1">
        <v>82</v>
      </c>
      <c r="B83" s="2">
        <v>49</v>
      </c>
      <c r="C83" s="18">
        <f t="shared" si="9"/>
        <v>15</v>
      </c>
      <c r="D83" s="1">
        <f t="shared" si="6"/>
        <v>91.5</v>
      </c>
      <c r="E83" s="1">
        <f t="shared" si="7"/>
        <v>418.5</v>
      </c>
      <c r="F83" s="1">
        <f t="shared" si="10"/>
        <v>3</v>
      </c>
      <c r="G83" s="1">
        <f t="shared" si="11"/>
        <v>1.5</v>
      </c>
      <c r="H83" s="18">
        <f t="shared" si="8"/>
        <v>5</v>
      </c>
      <c r="I83" s="1"/>
      <c r="J83" s="2"/>
    </row>
    <row r="84" spans="1:10" x14ac:dyDescent="0.3">
      <c r="A84" s="1">
        <v>83</v>
      </c>
      <c r="B84" s="2">
        <v>48</v>
      </c>
      <c r="C84" s="18">
        <f t="shared" si="9"/>
        <v>13</v>
      </c>
      <c r="D84" s="1">
        <f t="shared" si="6"/>
        <v>92</v>
      </c>
      <c r="E84" s="1">
        <f t="shared" si="7"/>
        <v>418</v>
      </c>
      <c r="F84" s="1">
        <f t="shared" si="10"/>
        <v>0.5</v>
      </c>
      <c r="G84" s="1">
        <f t="shared" si="11"/>
        <v>3</v>
      </c>
      <c r="H84" s="18">
        <f t="shared" si="8"/>
        <v>5</v>
      </c>
      <c r="I84" s="1"/>
      <c r="J84" s="2"/>
    </row>
    <row r="85" spans="1:10" x14ac:dyDescent="0.3">
      <c r="A85" s="1">
        <v>84</v>
      </c>
      <c r="B85" s="2">
        <v>49</v>
      </c>
      <c r="C85" s="18">
        <f t="shared" si="9"/>
        <v>12</v>
      </c>
      <c r="D85" s="1">
        <f t="shared" si="6"/>
        <v>92.5</v>
      </c>
      <c r="E85" s="1">
        <f t="shared" si="7"/>
        <v>417.5</v>
      </c>
      <c r="F85" s="1">
        <f t="shared" si="10"/>
        <v>0</v>
      </c>
      <c r="G85" s="1">
        <f t="shared" si="11"/>
        <v>3.5</v>
      </c>
      <c r="H85" s="18">
        <f t="shared" si="8"/>
        <v>5</v>
      </c>
      <c r="I85" s="1"/>
      <c r="J85" s="2"/>
    </row>
    <row r="86" spans="1:10" x14ac:dyDescent="0.3">
      <c r="A86" s="1">
        <v>85</v>
      </c>
      <c r="B86" s="2">
        <v>47</v>
      </c>
      <c r="C86" s="18">
        <f t="shared" si="9"/>
        <v>9</v>
      </c>
      <c r="D86" s="1">
        <f t="shared" si="6"/>
        <v>93</v>
      </c>
      <c r="E86" s="1">
        <f t="shared" si="7"/>
        <v>417</v>
      </c>
      <c r="F86" s="1">
        <f t="shared" si="10"/>
        <v>0</v>
      </c>
      <c r="G86" s="1">
        <f t="shared" si="11"/>
        <v>6</v>
      </c>
      <c r="H86" s="18">
        <f t="shared" si="8"/>
        <v>5</v>
      </c>
      <c r="I86" s="1"/>
      <c r="J86" s="2"/>
    </row>
    <row r="87" spans="1:10" x14ac:dyDescent="0.3">
      <c r="A87" s="1">
        <v>86</v>
      </c>
      <c r="B87" s="2">
        <v>49</v>
      </c>
      <c r="C87" s="18">
        <f t="shared" si="9"/>
        <v>8</v>
      </c>
      <c r="D87" s="1">
        <f t="shared" si="6"/>
        <v>93.5</v>
      </c>
      <c r="E87" s="1">
        <f t="shared" si="7"/>
        <v>416.5</v>
      </c>
      <c r="F87" s="1">
        <f t="shared" si="10"/>
        <v>0</v>
      </c>
      <c r="G87" s="1">
        <f t="shared" si="11"/>
        <v>6.5</v>
      </c>
      <c r="H87" s="18">
        <f t="shared" si="8"/>
        <v>5</v>
      </c>
      <c r="I87" s="1"/>
      <c r="J87" s="2"/>
    </row>
    <row r="88" spans="1:10" x14ac:dyDescent="0.3">
      <c r="A88" s="1">
        <v>87</v>
      </c>
      <c r="B88" s="2">
        <v>54</v>
      </c>
      <c r="C88" s="18">
        <f t="shared" si="9"/>
        <v>12</v>
      </c>
      <c r="D88" s="1">
        <f t="shared" si="6"/>
        <v>94</v>
      </c>
      <c r="E88" s="1">
        <f t="shared" si="7"/>
        <v>416</v>
      </c>
      <c r="F88" s="1">
        <f t="shared" si="10"/>
        <v>3.5</v>
      </c>
      <c r="G88" s="1">
        <f t="shared" si="11"/>
        <v>2</v>
      </c>
      <c r="H88" s="18">
        <f t="shared" si="8"/>
        <v>5</v>
      </c>
      <c r="I88" s="1"/>
      <c r="J88" s="2"/>
    </row>
    <row r="89" spans="1:10" x14ac:dyDescent="0.3">
      <c r="A89" s="1">
        <v>88</v>
      </c>
      <c r="B89" s="2">
        <v>48</v>
      </c>
      <c r="C89" s="18">
        <f t="shared" si="9"/>
        <v>10</v>
      </c>
      <c r="D89" s="1">
        <f t="shared" si="6"/>
        <v>94.5</v>
      </c>
      <c r="E89" s="1">
        <f t="shared" si="7"/>
        <v>415.5</v>
      </c>
      <c r="F89" s="1">
        <f t="shared" si="10"/>
        <v>1</v>
      </c>
      <c r="G89" s="1">
        <f t="shared" si="11"/>
        <v>3.5</v>
      </c>
      <c r="H89" s="18">
        <f t="shared" si="8"/>
        <v>5</v>
      </c>
      <c r="I89" s="1"/>
      <c r="J89" s="2"/>
    </row>
    <row r="90" spans="1:10" x14ac:dyDescent="0.3">
      <c r="A90" s="1">
        <v>89</v>
      </c>
      <c r="B90" s="2">
        <v>54</v>
      </c>
      <c r="C90" s="18">
        <f t="shared" si="9"/>
        <v>14</v>
      </c>
      <c r="D90" s="1">
        <f t="shared" si="6"/>
        <v>95</v>
      </c>
      <c r="E90" s="1">
        <f t="shared" si="7"/>
        <v>415</v>
      </c>
      <c r="F90" s="1">
        <f t="shared" si="10"/>
        <v>4.5</v>
      </c>
      <c r="G90" s="1">
        <f t="shared" si="11"/>
        <v>0</v>
      </c>
      <c r="H90" s="18">
        <f t="shared" si="8"/>
        <v>5</v>
      </c>
      <c r="I90" s="1"/>
      <c r="J90" s="2"/>
    </row>
    <row r="91" spans="1:10" x14ac:dyDescent="0.3">
      <c r="A91" s="1">
        <v>90</v>
      </c>
      <c r="B91" s="2">
        <v>52</v>
      </c>
      <c r="C91" s="18">
        <f t="shared" si="9"/>
        <v>16</v>
      </c>
      <c r="D91" s="1">
        <f t="shared" si="6"/>
        <v>95.5</v>
      </c>
      <c r="E91" s="1">
        <f t="shared" si="7"/>
        <v>414.5</v>
      </c>
      <c r="F91" s="1">
        <f t="shared" si="10"/>
        <v>6</v>
      </c>
      <c r="G91" s="1">
        <f t="shared" si="11"/>
        <v>0</v>
      </c>
      <c r="H91" s="18">
        <f t="shared" si="8"/>
        <v>5</v>
      </c>
      <c r="I91" s="1"/>
      <c r="J91" s="2"/>
    </row>
    <row r="92" spans="1:10" x14ac:dyDescent="0.3">
      <c r="A92" s="1">
        <v>91</v>
      </c>
      <c r="B92" s="2">
        <v>49</v>
      </c>
      <c r="C92" s="18">
        <f t="shared" si="9"/>
        <v>15</v>
      </c>
      <c r="D92" s="1">
        <f t="shared" si="6"/>
        <v>96</v>
      </c>
      <c r="E92" s="1">
        <f t="shared" si="7"/>
        <v>414</v>
      </c>
      <c r="F92" s="1">
        <f t="shared" si="10"/>
        <v>4.5</v>
      </c>
      <c r="G92" s="1">
        <f t="shared" si="11"/>
        <v>0.5</v>
      </c>
      <c r="H92" s="18">
        <f t="shared" si="8"/>
        <v>5</v>
      </c>
      <c r="I92" s="1"/>
      <c r="J92" s="2"/>
    </row>
    <row r="93" spans="1:10" x14ac:dyDescent="0.3">
      <c r="A93" s="1">
        <v>92</v>
      </c>
      <c r="B93" s="2">
        <v>54</v>
      </c>
      <c r="C93" s="18">
        <f t="shared" si="9"/>
        <v>19</v>
      </c>
      <c r="D93" s="1">
        <f t="shared" si="6"/>
        <v>96.5</v>
      </c>
      <c r="E93" s="1">
        <f t="shared" si="7"/>
        <v>413.5</v>
      </c>
      <c r="F93" s="1">
        <f t="shared" si="10"/>
        <v>8</v>
      </c>
      <c r="G93" s="1">
        <f t="shared" si="11"/>
        <v>0</v>
      </c>
      <c r="H93" s="18">
        <f t="shared" si="8"/>
        <v>5</v>
      </c>
      <c r="I93" s="1"/>
      <c r="J93" s="2"/>
    </row>
    <row r="94" spans="1:10" x14ac:dyDescent="0.3">
      <c r="A94" s="1">
        <v>93</v>
      </c>
      <c r="B94" s="2">
        <v>55</v>
      </c>
      <c r="C94" s="18">
        <f t="shared" si="9"/>
        <v>24</v>
      </c>
      <c r="D94" s="1">
        <f t="shared" si="6"/>
        <v>97</v>
      </c>
      <c r="E94" s="1">
        <f t="shared" si="7"/>
        <v>413</v>
      </c>
      <c r="F94" s="1">
        <f t="shared" si="10"/>
        <v>12.5</v>
      </c>
      <c r="G94" s="1">
        <f t="shared" si="11"/>
        <v>0</v>
      </c>
      <c r="H94" s="18">
        <f t="shared" si="8"/>
        <v>5</v>
      </c>
      <c r="I94" s="1"/>
      <c r="J94" s="2"/>
    </row>
    <row r="95" spans="1:10" x14ac:dyDescent="0.3">
      <c r="A95" s="1">
        <v>94</v>
      </c>
      <c r="B95" s="2">
        <v>52</v>
      </c>
      <c r="C95" s="18">
        <f t="shared" si="9"/>
        <v>26</v>
      </c>
      <c r="D95" s="1">
        <f t="shared" si="6"/>
        <v>97.5</v>
      </c>
      <c r="E95" s="1">
        <f t="shared" si="7"/>
        <v>412.5</v>
      </c>
      <c r="F95" s="1">
        <f t="shared" si="10"/>
        <v>14</v>
      </c>
      <c r="G95" s="1">
        <f t="shared" si="11"/>
        <v>0</v>
      </c>
      <c r="H95" s="18">
        <f t="shared" si="8"/>
        <v>5</v>
      </c>
      <c r="I95" s="1"/>
      <c r="J95" s="2"/>
    </row>
    <row r="96" spans="1:10" x14ac:dyDescent="0.3">
      <c r="A96" s="1">
        <v>95</v>
      </c>
      <c r="B96" s="2">
        <v>48</v>
      </c>
      <c r="C96" s="18">
        <f t="shared" si="9"/>
        <v>24</v>
      </c>
      <c r="D96" s="1">
        <f t="shared" si="6"/>
        <v>98</v>
      </c>
      <c r="E96" s="1">
        <f t="shared" si="7"/>
        <v>412</v>
      </c>
      <c r="F96" s="1">
        <f t="shared" si="10"/>
        <v>11.5</v>
      </c>
      <c r="G96" s="1">
        <f t="shared" si="11"/>
        <v>1.5</v>
      </c>
      <c r="H96" s="18">
        <f t="shared" si="8"/>
        <v>5</v>
      </c>
      <c r="I96" s="1"/>
      <c r="J96" s="2"/>
    </row>
    <row r="97" spans="1:10" x14ac:dyDescent="0.3">
      <c r="A97" s="1">
        <v>96</v>
      </c>
      <c r="B97" s="2">
        <v>46</v>
      </c>
      <c r="C97" s="18">
        <f t="shared" si="9"/>
        <v>20</v>
      </c>
      <c r="D97" s="1">
        <f t="shared" si="6"/>
        <v>98.5</v>
      </c>
      <c r="E97" s="1">
        <f t="shared" si="7"/>
        <v>411.5</v>
      </c>
      <c r="F97" s="1">
        <f t="shared" si="10"/>
        <v>7</v>
      </c>
      <c r="G97" s="1">
        <f t="shared" si="11"/>
        <v>5</v>
      </c>
      <c r="H97" s="18">
        <f t="shared" si="8"/>
        <v>5</v>
      </c>
      <c r="I97" s="1"/>
      <c r="J97" s="2"/>
    </row>
    <row r="98" spans="1:10" x14ac:dyDescent="0.3">
      <c r="A98" s="1">
        <v>97</v>
      </c>
      <c r="B98" s="2">
        <v>46</v>
      </c>
      <c r="C98" s="18">
        <f t="shared" si="9"/>
        <v>16</v>
      </c>
      <c r="D98" s="1">
        <f t="shared" si="6"/>
        <v>99</v>
      </c>
      <c r="E98" s="1">
        <f t="shared" si="7"/>
        <v>411</v>
      </c>
      <c r="F98" s="1">
        <f t="shared" si="10"/>
        <v>2.5</v>
      </c>
      <c r="G98" s="1">
        <f t="shared" si="11"/>
        <v>8.5</v>
      </c>
      <c r="H98" s="18">
        <f t="shared" si="8"/>
        <v>5</v>
      </c>
      <c r="I98" s="1"/>
      <c r="J98" s="2"/>
    </row>
    <row r="99" spans="1:10" x14ac:dyDescent="0.3">
      <c r="A99" s="1">
        <v>98</v>
      </c>
      <c r="B99" s="2">
        <v>55</v>
      </c>
      <c r="C99" s="18">
        <f t="shared" si="9"/>
        <v>21</v>
      </c>
      <c r="D99" s="1">
        <f t="shared" si="6"/>
        <v>99.5</v>
      </c>
      <c r="E99" s="1">
        <f t="shared" si="7"/>
        <v>410.5</v>
      </c>
      <c r="F99" s="1">
        <f t="shared" si="10"/>
        <v>7</v>
      </c>
      <c r="G99" s="1">
        <f t="shared" si="11"/>
        <v>3</v>
      </c>
      <c r="H99" s="18">
        <f t="shared" si="8"/>
        <v>5</v>
      </c>
      <c r="I99" s="1"/>
      <c r="J99" s="2"/>
    </row>
    <row r="100" spans="1:10" x14ac:dyDescent="0.3">
      <c r="A100" s="1">
        <v>99</v>
      </c>
      <c r="B100" s="2">
        <v>48</v>
      </c>
      <c r="C100" s="18">
        <f t="shared" si="9"/>
        <v>19</v>
      </c>
      <c r="D100" s="1">
        <f t="shared" si="6"/>
        <v>100</v>
      </c>
      <c r="E100" s="1">
        <f t="shared" si="7"/>
        <v>410</v>
      </c>
      <c r="F100" s="1">
        <f t="shared" si="10"/>
        <v>4.5</v>
      </c>
      <c r="G100" s="1">
        <f t="shared" si="11"/>
        <v>4.5</v>
      </c>
      <c r="H100" s="18">
        <f t="shared" si="8"/>
        <v>5</v>
      </c>
      <c r="I100" s="1"/>
      <c r="J100" s="2"/>
    </row>
    <row r="101" spans="1:10" x14ac:dyDescent="0.3">
      <c r="A101" s="1">
        <v>100</v>
      </c>
      <c r="B101" s="2">
        <v>54</v>
      </c>
      <c r="C101" s="18">
        <f t="shared" si="9"/>
        <v>23</v>
      </c>
      <c r="D101" s="1">
        <f t="shared" si="6"/>
        <v>100.5</v>
      </c>
      <c r="E101" s="1">
        <f t="shared" si="7"/>
        <v>409.5</v>
      </c>
      <c r="F101" s="1">
        <f t="shared" si="10"/>
        <v>8</v>
      </c>
      <c r="G101" s="1">
        <f t="shared" si="11"/>
        <v>0</v>
      </c>
      <c r="H101" s="18">
        <f t="shared" si="8"/>
        <v>5</v>
      </c>
      <c r="I101" s="1"/>
      <c r="J101" s="2"/>
    </row>
    <row r="102" spans="1:10" x14ac:dyDescent="0.3">
      <c r="A102" s="1">
        <v>101</v>
      </c>
      <c r="B102" s="2">
        <v>51</v>
      </c>
      <c r="C102" s="18">
        <f t="shared" si="9"/>
        <v>24</v>
      </c>
      <c r="D102" s="1">
        <f t="shared" si="6"/>
        <v>101</v>
      </c>
      <c r="E102" s="1">
        <f t="shared" si="7"/>
        <v>409</v>
      </c>
      <c r="F102" s="1">
        <f t="shared" si="10"/>
        <v>8.5</v>
      </c>
      <c r="G102" s="1">
        <f t="shared" si="11"/>
        <v>0</v>
      </c>
      <c r="H102" s="18">
        <f t="shared" si="8"/>
        <v>5</v>
      </c>
      <c r="I102" s="1"/>
      <c r="J102" s="2"/>
    </row>
    <row r="103" spans="1:10" x14ac:dyDescent="0.3">
      <c r="A103" s="1">
        <v>102</v>
      </c>
      <c r="B103" s="2">
        <v>50</v>
      </c>
      <c r="C103" s="18">
        <f t="shared" si="9"/>
        <v>24</v>
      </c>
      <c r="D103" s="1">
        <f t="shared" si="6"/>
        <v>101.5</v>
      </c>
      <c r="E103" s="1">
        <f t="shared" si="7"/>
        <v>408.5</v>
      </c>
      <c r="F103" s="1">
        <f t="shared" si="10"/>
        <v>8</v>
      </c>
      <c r="G103" s="1">
        <f t="shared" si="11"/>
        <v>0</v>
      </c>
      <c r="H103" s="18">
        <f t="shared" si="8"/>
        <v>5</v>
      </c>
      <c r="I103" s="1"/>
      <c r="J103" s="2"/>
    </row>
    <row r="104" spans="1:10" x14ac:dyDescent="0.3">
      <c r="A104" s="1">
        <v>103</v>
      </c>
      <c r="B104" s="2">
        <v>48</v>
      </c>
      <c r="C104" s="18">
        <f t="shared" si="9"/>
        <v>22</v>
      </c>
      <c r="D104" s="1">
        <f t="shared" si="6"/>
        <v>102</v>
      </c>
      <c r="E104" s="1">
        <f t="shared" si="7"/>
        <v>408</v>
      </c>
      <c r="F104" s="1">
        <f t="shared" si="10"/>
        <v>5.5</v>
      </c>
      <c r="G104" s="1">
        <f t="shared" si="11"/>
        <v>1.5</v>
      </c>
      <c r="H104" s="18">
        <f t="shared" si="8"/>
        <v>5</v>
      </c>
      <c r="I104" s="1"/>
      <c r="J104" s="2"/>
    </row>
    <row r="105" spans="1:10" x14ac:dyDescent="0.3">
      <c r="A105" s="1">
        <v>104</v>
      </c>
      <c r="B105" s="2">
        <v>50</v>
      </c>
      <c r="C105" s="18">
        <f t="shared" si="9"/>
        <v>22</v>
      </c>
      <c r="D105" s="1">
        <f t="shared" si="6"/>
        <v>102.5</v>
      </c>
      <c r="E105" s="1">
        <f t="shared" si="7"/>
        <v>407.5</v>
      </c>
      <c r="F105" s="1">
        <f t="shared" si="10"/>
        <v>5</v>
      </c>
      <c r="G105" s="1">
        <f t="shared" si="11"/>
        <v>1</v>
      </c>
      <c r="H105" s="18">
        <f t="shared" si="8"/>
        <v>5</v>
      </c>
      <c r="I105" s="1"/>
      <c r="J105" s="2"/>
    </row>
    <row r="106" spans="1:10" x14ac:dyDescent="0.3">
      <c r="A106" s="1">
        <v>105</v>
      </c>
      <c r="B106" s="2">
        <v>47</v>
      </c>
      <c r="C106" s="18">
        <f t="shared" si="9"/>
        <v>19</v>
      </c>
      <c r="D106" s="1">
        <f t="shared" si="6"/>
        <v>103</v>
      </c>
      <c r="E106" s="1">
        <f t="shared" si="7"/>
        <v>407</v>
      </c>
      <c r="F106" s="1">
        <f t="shared" si="10"/>
        <v>1.5</v>
      </c>
      <c r="G106" s="1">
        <f t="shared" si="11"/>
        <v>3.5</v>
      </c>
      <c r="H106" s="18">
        <f t="shared" si="8"/>
        <v>5</v>
      </c>
      <c r="I106" s="1"/>
      <c r="J106" s="2"/>
    </row>
    <row r="107" spans="1:10" x14ac:dyDescent="0.3">
      <c r="A107" s="1">
        <v>106</v>
      </c>
      <c r="B107" s="2">
        <v>47</v>
      </c>
      <c r="C107" s="18">
        <f t="shared" si="9"/>
        <v>16</v>
      </c>
      <c r="D107" s="1">
        <f t="shared" si="6"/>
        <v>103.5</v>
      </c>
      <c r="E107" s="1">
        <f t="shared" si="7"/>
        <v>406.5</v>
      </c>
      <c r="F107" s="1">
        <f t="shared" si="10"/>
        <v>0</v>
      </c>
      <c r="G107" s="1">
        <f t="shared" si="11"/>
        <v>6</v>
      </c>
      <c r="H107" s="18">
        <f t="shared" si="8"/>
        <v>5</v>
      </c>
      <c r="I107" s="1"/>
      <c r="J107" s="2"/>
    </row>
    <row r="108" spans="1:10" x14ac:dyDescent="0.3">
      <c r="A108" s="1">
        <v>107</v>
      </c>
      <c r="B108" s="2">
        <v>52</v>
      </c>
      <c r="C108" s="18">
        <f t="shared" si="9"/>
        <v>18</v>
      </c>
      <c r="D108" s="1">
        <f t="shared" si="6"/>
        <v>104</v>
      </c>
      <c r="E108" s="1">
        <f t="shared" si="7"/>
        <v>406</v>
      </c>
      <c r="F108" s="1">
        <f t="shared" si="10"/>
        <v>1.5</v>
      </c>
      <c r="G108" s="1">
        <f t="shared" si="11"/>
        <v>3.5</v>
      </c>
      <c r="H108" s="18">
        <f t="shared" si="8"/>
        <v>5</v>
      </c>
      <c r="I108" s="1"/>
      <c r="J108" s="2"/>
    </row>
    <row r="109" spans="1:10" x14ac:dyDescent="0.3">
      <c r="A109" s="1">
        <v>108</v>
      </c>
      <c r="B109" s="2">
        <v>50</v>
      </c>
      <c r="C109" s="18">
        <f t="shared" si="9"/>
        <v>18</v>
      </c>
      <c r="D109" s="1">
        <f t="shared" si="6"/>
        <v>104.5</v>
      </c>
      <c r="E109" s="1">
        <f t="shared" si="7"/>
        <v>405.5</v>
      </c>
      <c r="F109" s="1">
        <f t="shared" si="10"/>
        <v>1</v>
      </c>
      <c r="G109" s="1">
        <f t="shared" si="11"/>
        <v>3</v>
      </c>
      <c r="H109" s="18">
        <f t="shared" si="8"/>
        <v>5</v>
      </c>
      <c r="I109" s="1"/>
      <c r="J109" s="2"/>
    </row>
    <row r="110" spans="1:10" x14ac:dyDescent="0.3">
      <c r="A110" s="1">
        <v>109</v>
      </c>
      <c r="B110" s="2">
        <v>49</v>
      </c>
      <c r="C110" s="18">
        <f t="shared" si="9"/>
        <v>17</v>
      </c>
      <c r="D110" s="1">
        <f t="shared" si="6"/>
        <v>105</v>
      </c>
      <c r="E110" s="1">
        <f t="shared" si="7"/>
        <v>405</v>
      </c>
      <c r="F110" s="1">
        <f t="shared" si="10"/>
        <v>0</v>
      </c>
      <c r="G110" s="1">
        <f t="shared" si="11"/>
        <v>3.5</v>
      </c>
      <c r="H110" s="18">
        <f t="shared" si="8"/>
        <v>5</v>
      </c>
      <c r="I110" s="1"/>
      <c r="J110" s="2"/>
    </row>
    <row r="111" spans="1:10" x14ac:dyDescent="0.3">
      <c r="A111" s="1">
        <v>110</v>
      </c>
      <c r="B111" s="2">
        <v>49</v>
      </c>
      <c r="C111" s="18">
        <f t="shared" si="9"/>
        <v>16</v>
      </c>
      <c r="D111" s="1">
        <f t="shared" si="6"/>
        <v>105.5</v>
      </c>
      <c r="E111" s="1">
        <f t="shared" si="7"/>
        <v>404.5</v>
      </c>
      <c r="F111" s="1">
        <f t="shared" si="10"/>
        <v>0</v>
      </c>
      <c r="G111" s="1">
        <f t="shared" si="11"/>
        <v>4</v>
      </c>
      <c r="H111" s="18">
        <f t="shared" si="8"/>
        <v>5</v>
      </c>
      <c r="I111" s="1"/>
      <c r="J111" s="2"/>
    </row>
    <row r="112" spans="1:10" x14ac:dyDescent="0.3">
      <c r="A112" s="1">
        <v>111</v>
      </c>
      <c r="B112" s="2">
        <v>53</v>
      </c>
      <c r="C112" s="18">
        <f t="shared" si="9"/>
        <v>19</v>
      </c>
      <c r="D112" s="1">
        <f t="shared" si="6"/>
        <v>106</v>
      </c>
      <c r="E112" s="1">
        <f t="shared" si="7"/>
        <v>404</v>
      </c>
      <c r="F112" s="1">
        <f t="shared" si="10"/>
        <v>2.5</v>
      </c>
      <c r="G112" s="1">
        <f t="shared" si="11"/>
        <v>0.5</v>
      </c>
      <c r="H112" s="18">
        <f t="shared" si="8"/>
        <v>5</v>
      </c>
      <c r="I112" s="1"/>
      <c r="J112" s="2"/>
    </row>
    <row r="113" spans="1:10" x14ac:dyDescent="0.3">
      <c r="A113" s="1">
        <v>112</v>
      </c>
      <c r="B113" s="2">
        <v>46</v>
      </c>
      <c r="C113" s="18">
        <f t="shared" si="9"/>
        <v>15</v>
      </c>
      <c r="D113" s="1">
        <f t="shared" si="6"/>
        <v>106.5</v>
      </c>
      <c r="E113" s="1">
        <f t="shared" si="7"/>
        <v>403.5</v>
      </c>
      <c r="F113" s="1">
        <f t="shared" si="10"/>
        <v>0</v>
      </c>
      <c r="G113" s="1">
        <f t="shared" si="11"/>
        <v>4</v>
      </c>
      <c r="H113" s="18">
        <f t="shared" si="8"/>
        <v>5</v>
      </c>
      <c r="I113" s="1"/>
      <c r="J113" s="2"/>
    </row>
    <row r="114" spans="1:10" x14ac:dyDescent="0.3">
      <c r="A114" s="1">
        <v>113</v>
      </c>
      <c r="B114" s="2">
        <v>55</v>
      </c>
      <c r="C114" s="18">
        <f t="shared" si="9"/>
        <v>20</v>
      </c>
      <c r="D114" s="1">
        <f t="shared" si="6"/>
        <v>107</v>
      </c>
      <c r="E114" s="1">
        <f t="shared" si="7"/>
        <v>403</v>
      </c>
      <c r="F114" s="1">
        <f t="shared" si="10"/>
        <v>4.5</v>
      </c>
      <c r="G114" s="1">
        <f t="shared" si="11"/>
        <v>0</v>
      </c>
      <c r="H114" s="18">
        <f t="shared" si="8"/>
        <v>5</v>
      </c>
      <c r="I114" s="1"/>
      <c r="J114" s="2"/>
    </row>
    <row r="115" spans="1:10" x14ac:dyDescent="0.3">
      <c r="A115" s="1">
        <v>114</v>
      </c>
      <c r="B115" s="2">
        <v>48</v>
      </c>
      <c r="C115" s="18">
        <f t="shared" si="9"/>
        <v>18</v>
      </c>
      <c r="D115" s="1">
        <f t="shared" si="6"/>
        <v>107.5</v>
      </c>
      <c r="E115" s="1">
        <f t="shared" si="7"/>
        <v>402.5</v>
      </c>
      <c r="F115" s="1">
        <f t="shared" si="10"/>
        <v>2</v>
      </c>
      <c r="G115" s="1">
        <f t="shared" si="11"/>
        <v>1.5</v>
      </c>
      <c r="H115" s="18">
        <f t="shared" si="8"/>
        <v>5</v>
      </c>
      <c r="I115" s="1"/>
      <c r="J115" s="2"/>
    </row>
    <row r="116" spans="1:10" x14ac:dyDescent="0.3">
      <c r="A116" s="1">
        <v>115</v>
      </c>
      <c r="B116" s="2">
        <v>46</v>
      </c>
      <c r="C116" s="18">
        <f t="shared" si="9"/>
        <v>14</v>
      </c>
      <c r="D116" s="1">
        <f t="shared" si="6"/>
        <v>108</v>
      </c>
      <c r="E116" s="1">
        <f t="shared" si="7"/>
        <v>402</v>
      </c>
      <c r="F116" s="1">
        <f t="shared" si="10"/>
        <v>0</v>
      </c>
      <c r="G116" s="1">
        <f t="shared" si="11"/>
        <v>5</v>
      </c>
      <c r="H116" s="18">
        <f t="shared" si="8"/>
        <v>5</v>
      </c>
      <c r="I116" s="1"/>
      <c r="J116" s="2"/>
    </row>
    <row r="117" spans="1:10" x14ac:dyDescent="0.3">
      <c r="A117" s="1">
        <v>116</v>
      </c>
      <c r="B117" s="2">
        <v>49</v>
      </c>
      <c r="C117" s="18">
        <f t="shared" si="9"/>
        <v>13</v>
      </c>
      <c r="D117" s="1">
        <f t="shared" si="6"/>
        <v>108.5</v>
      </c>
      <c r="E117" s="1">
        <f t="shared" si="7"/>
        <v>401.5</v>
      </c>
      <c r="F117" s="1">
        <f t="shared" si="10"/>
        <v>0</v>
      </c>
      <c r="G117" s="1">
        <f t="shared" si="11"/>
        <v>5.5</v>
      </c>
      <c r="H117" s="18">
        <f t="shared" si="8"/>
        <v>5</v>
      </c>
      <c r="I117" s="1"/>
      <c r="J117" s="2"/>
    </row>
    <row r="118" spans="1:10" x14ac:dyDescent="0.3">
      <c r="A118" s="1">
        <v>117</v>
      </c>
      <c r="B118" s="2">
        <v>54</v>
      </c>
      <c r="C118" s="18">
        <f t="shared" si="9"/>
        <v>17</v>
      </c>
      <c r="D118" s="1">
        <f t="shared" si="6"/>
        <v>109</v>
      </c>
      <c r="E118" s="1">
        <f t="shared" si="7"/>
        <v>401</v>
      </c>
      <c r="F118" s="1">
        <f t="shared" si="10"/>
        <v>3.5</v>
      </c>
      <c r="G118" s="1">
        <f t="shared" si="11"/>
        <v>1</v>
      </c>
      <c r="H118" s="18">
        <f t="shared" si="8"/>
        <v>5</v>
      </c>
      <c r="I118" s="1"/>
      <c r="J118" s="2"/>
    </row>
    <row r="119" spans="1:10" x14ac:dyDescent="0.3">
      <c r="A119" s="1">
        <v>118</v>
      </c>
      <c r="B119" s="2">
        <v>54</v>
      </c>
      <c r="C119" s="18">
        <f t="shared" si="9"/>
        <v>21</v>
      </c>
      <c r="D119" s="1">
        <f t="shared" si="6"/>
        <v>109.5</v>
      </c>
      <c r="E119" s="1">
        <f t="shared" si="7"/>
        <v>400.5</v>
      </c>
      <c r="F119" s="1">
        <f t="shared" si="10"/>
        <v>7</v>
      </c>
      <c r="G119" s="1">
        <f t="shared" si="11"/>
        <v>0</v>
      </c>
      <c r="H119" s="18">
        <f t="shared" si="8"/>
        <v>5</v>
      </c>
      <c r="I119" s="1"/>
      <c r="J119" s="2"/>
    </row>
    <row r="120" spans="1:10" x14ac:dyDescent="0.3">
      <c r="A120" s="1">
        <v>119</v>
      </c>
      <c r="B120" s="2">
        <v>50</v>
      </c>
      <c r="C120" s="18">
        <f t="shared" si="9"/>
        <v>21</v>
      </c>
      <c r="D120" s="1">
        <f t="shared" si="6"/>
        <v>110</v>
      </c>
      <c r="E120" s="1">
        <f t="shared" si="7"/>
        <v>400</v>
      </c>
      <c r="F120" s="1">
        <f t="shared" si="10"/>
        <v>6.5</v>
      </c>
      <c r="G120" s="1">
        <f t="shared" si="11"/>
        <v>0</v>
      </c>
      <c r="H120" s="18">
        <f t="shared" si="8"/>
        <v>5</v>
      </c>
      <c r="I120" s="1"/>
      <c r="J120" s="2"/>
    </row>
    <row r="121" spans="1:10" x14ac:dyDescent="0.3">
      <c r="A121" s="1">
        <v>120</v>
      </c>
      <c r="B121" s="2">
        <v>52</v>
      </c>
      <c r="C121" s="18">
        <f t="shared" si="9"/>
        <v>23</v>
      </c>
      <c r="D121" s="1">
        <f t="shared" si="6"/>
        <v>110.5</v>
      </c>
      <c r="E121" s="1">
        <f t="shared" si="7"/>
        <v>399.5</v>
      </c>
      <c r="F121" s="1">
        <f t="shared" si="10"/>
        <v>8</v>
      </c>
      <c r="G121" s="1">
        <f t="shared" si="11"/>
        <v>0</v>
      </c>
      <c r="H121" s="18">
        <f t="shared" si="8"/>
        <v>5</v>
      </c>
      <c r="I121" s="1"/>
      <c r="J121" s="2"/>
    </row>
    <row r="122" spans="1:10" x14ac:dyDescent="0.3">
      <c r="A122" s="1">
        <v>121</v>
      </c>
      <c r="B122" s="2">
        <v>46</v>
      </c>
      <c r="C122" s="18">
        <f t="shared" si="9"/>
        <v>19</v>
      </c>
      <c r="D122" s="1">
        <f t="shared" si="6"/>
        <v>111</v>
      </c>
      <c r="E122" s="1">
        <f t="shared" si="7"/>
        <v>399</v>
      </c>
      <c r="F122" s="1">
        <f t="shared" si="10"/>
        <v>3.5</v>
      </c>
      <c r="G122" s="1">
        <f t="shared" si="11"/>
        <v>3.5</v>
      </c>
      <c r="H122" s="18">
        <f t="shared" si="8"/>
        <v>5</v>
      </c>
      <c r="I122" s="1"/>
      <c r="J122" s="2"/>
    </row>
    <row r="123" spans="1:10" x14ac:dyDescent="0.3">
      <c r="A123" s="1">
        <v>122</v>
      </c>
      <c r="B123" s="2">
        <v>52</v>
      </c>
      <c r="C123" s="18">
        <f t="shared" si="9"/>
        <v>21</v>
      </c>
      <c r="D123" s="1">
        <f t="shared" si="6"/>
        <v>111.5</v>
      </c>
      <c r="E123" s="1">
        <f t="shared" si="7"/>
        <v>398.5</v>
      </c>
      <c r="F123" s="1">
        <f t="shared" si="10"/>
        <v>5</v>
      </c>
      <c r="G123" s="1">
        <f t="shared" si="11"/>
        <v>1</v>
      </c>
      <c r="H123" s="18">
        <f t="shared" si="8"/>
        <v>5</v>
      </c>
      <c r="I123" s="1"/>
      <c r="J123" s="2"/>
    </row>
    <row r="124" spans="1:10" x14ac:dyDescent="0.3">
      <c r="A124" s="1">
        <v>123</v>
      </c>
      <c r="B124" s="2">
        <v>52</v>
      </c>
      <c r="C124" s="18">
        <f t="shared" si="9"/>
        <v>23</v>
      </c>
      <c r="D124" s="1">
        <f t="shared" si="6"/>
        <v>112</v>
      </c>
      <c r="E124" s="1">
        <f t="shared" si="7"/>
        <v>398</v>
      </c>
      <c r="F124" s="1">
        <f t="shared" si="10"/>
        <v>6.5</v>
      </c>
      <c r="G124" s="1">
        <f t="shared" si="11"/>
        <v>0</v>
      </c>
      <c r="H124" s="18">
        <f t="shared" si="8"/>
        <v>5</v>
      </c>
      <c r="I124" s="1"/>
      <c r="J124" s="2"/>
    </row>
    <row r="125" spans="1:10" x14ac:dyDescent="0.3">
      <c r="A125" s="1">
        <v>124</v>
      </c>
      <c r="B125" s="2">
        <v>50</v>
      </c>
      <c r="C125" s="18">
        <f t="shared" si="9"/>
        <v>23</v>
      </c>
      <c r="D125" s="1">
        <f t="shared" si="6"/>
        <v>112.5</v>
      </c>
      <c r="E125" s="1">
        <f t="shared" si="7"/>
        <v>397.5</v>
      </c>
      <c r="F125" s="1">
        <f t="shared" si="10"/>
        <v>6</v>
      </c>
      <c r="G125" s="1">
        <f t="shared" si="11"/>
        <v>0</v>
      </c>
      <c r="H125" s="18">
        <f t="shared" si="8"/>
        <v>5</v>
      </c>
      <c r="I125" s="1"/>
      <c r="J125" s="2"/>
    </row>
    <row r="126" spans="1:10" x14ac:dyDescent="0.3">
      <c r="A126" s="1">
        <v>125</v>
      </c>
      <c r="B126" s="2">
        <v>54</v>
      </c>
      <c r="C126" s="18">
        <f t="shared" si="9"/>
        <v>27</v>
      </c>
      <c r="D126" s="1">
        <f t="shared" si="6"/>
        <v>113</v>
      </c>
      <c r="E126" s="1">
        <f t="shared" si="7"/>
        <v>397</v>
      </c>
      <c r="F126" s="1">
        <f t="shared" si="10"/>
        <v>9.5</v>
      </c>
      <c r="G126" s="1">
        <f t="shared" si="11"/>
        <v>0</v>
      </c>
      <c r="H126" s="18">
        <f t="shared" si="8"/>
        <v>5</v>
      </c>
      <c r="I126" s="1"/>
      <c r="J126" s="2"/>
    </row>
    <row r="127" spans="1:10" x14ac:dyDescent="0.3">
      <c r="A127" s="1">
        <v>126</v>
      </c>
      <c r="B127" s="2">
        <v>51</v>
      </c>
      <c r="C127" s="18">
        <f t="shared" si="9"/>
        <v>28</v>
      </c>
      <c r="D127" s="1">
        <f t="shared" si="6"/>
        <v>113.5</v>
      </c>
      <c r="E127" s="1">
        <f t="shared" si="7"/>
        <v>396.5</v>
      </c>
      <c r="F127" s="1">
        <f t="shared" si="10"/>
        <v>10</v>
      </c>
      <c r="G127" s="1">
        <f t="shared" si="11"/>
        <v>0</v>
      </c>
      <c r="H127" s="18">
        <f t="shared" si="8"/>
        <v>5</v>
      </c>
      <c r="I127" s="1"/>
      <c r="J127" s="2"/>
    </row>
    <row r="128" spans="1:10" x14ac:dyDescent="0.3">
      <c r="A128" s="1">
        <v>127</v>
      </c>
      <c r="B128" s="2">
        <v>51</v>
      </c>
      <c r="C128" s="18">
        <f t="shared" si="9"/>
        <v>29</v>
      </c>
      <c r="D128" s="1">
        <f t="shared" si="6"/>
        <v>114</v>
      </c>
      <c r="E128" s="1">
        <f t="shared" si="7"/>
        <v>396</v>
      </c>
      <c r="F128" s="1">
        <f t="shared" si="10"/>
        <v>10.5</v>
      </c>
      <c r="G128" s="1">
        <f t="shared" si="11"/>
        <v>0</v>
      </c>
      <c r="H128" s="18">
        <f t="shared" si="8"/>
        <v>5</v>
      </c>
      <c r="I128" s="1"/>
      <c r="J128" s="2"/>
    </row>
    <row r="129" spans="1:10" x14ac:dyDescent="0.3">
      <c r="A129" s="1">
        <v>128</v>
      </c>
      <c r="B129" s="2">
        <v>53</v>
      </c>
      <c r="C129" s="18">
        <f t="shared" si="9"/>
        <v>32</v>
      </c>
      <c r="D129" s="1">
        <f t="shared" si="6"/>
        <v>114.5</v>
      </c>
      <c r="E129" s="1">
        <f t="shared" si="7"/>
        <v>395.5</v>
      </c>
      <c r="F129" s="1">
        <f t="shared" si="10"/>
        <v>13</v>
      </c>
      <c r="G129" s="1">
        <f t="shared" si="11"/>
        <v>0</v>
      </c>
      <c r="H129" s="18">
        <f t="shared" si="8"/>
        <v>5</v>
      </c>
      <c r="I129" s="1"/>
      <c r="J129" s="2"/>
    </row>
    <row r="130" spans="1:10" x14ac:dyDescent="0.3">
      <c r="A130" s="1">
        <v>129</v>
      </c>
      <c r="B130" s="2">
        <v>52</v>
      </c>
      <c r="C130" s="18">
        <f t="shared" si="9"/>
        <v>34</v>
      </c>
      <c r="D130" s="1">
        <f t="shared" ref="D130:D193" si="12">D131-$M$2</f>
        <v>115</v>
      </c>
      <c r="E130" s="1">
        <f t="shared" ref="E130:E193" si="13">E131+$M$2</f>
        <v>395</v>
      </c>
      <c r="F130" s="1">
        <f t="shared" si="10"/>
        <v>14.5</v>
      </c>
      <c r="G130" s="1">
        <f t="shared" si="11"/>
        <v>0</v>
      </c>
      <c r="H130" s="18">
        <f t="shared" si="8"/>
        <v>5</v>
      </c>
      <c r="I130" s="1"/>
      <c r="J130" s="2"/>
    </row>
    <row r="131" spans="1:10" x14ac:dyDescent="0.3">
      <c r="A131" s="1">
        <v>130</v>
      </c>
      <c r="B131" s="2">
        <v>52</v>
      </c>
      <c r="C131" s="18">
        <f t="shared" si="9"/>
        <v>36</v>
      </c>
      <c r="D131" s="1">
        <f t="shared" si="12"/>
        <v>115.5</v>
      </c>
      <c r="E131" s="1">
        <f t="shared" si="13"/>
        <v>394.5</v>
      </c>
      <c r="F131" s="1">
        <f t="shared" si="10"/>
        <v>16</v>
      </c>
      <c r="G131" s="1">
        <f t="shared" si="11"/>
        <v>0</v>
      </c>
      <c r="H131" s="18">
        <f t="shared" ref="H131:H194" si="14">$O$2</f>
        <v>5</v>
      </c>
      <c r="I131" s="1"/>
      <c r="J131" s="2"/>
    </row>
    <row r="132" spans="1:10" x14ac:dyDescent="0.3">
      <c r="A132" s="1">
        <v>131</v>
      </c>
      <c r="B132" s="2">
        <v>49</v>
      </c>
      <c r="C132" s="18">
        <f t="shared" ref="C132:C195" si="15">B132-L$2+C131</f>
        <v>35</v>
      </c>
      <c r="D132" s="1">
        <f t="shared" si="12"/>
        <v>116</v>
      </c>
      <c r="E132" s="1">
        <f t="shared" si="13"/>
        <v>394</v>
      </c>
      <c r="F132" s="1">
        <f t="shared" ref="F132:F195" si="16">MAX(0,B132-$L$2-$M$2+F131)</f>
        <v>14.5</v>
      </c>
      <c r="G132" s="1">
        <f t="shared" ref="G132:G195" si="17">MAX(0,$L$2-B132-$M$2+G131)</f>
        <v>0.5</v>
      </c>
      <c r="H132" s="18">
        <f t="shared" si="14"/>
        <v>5</v>
      </c>
      <c r="I132" s="1"/>
      <c r="J132" s="2"/>
    </row>
    <row r="133" spans="1:10" x14ac:dyDescent="0.3">
      <c r="A133" s="1">
        <v>132</v>
      </c>
      <c r="B133" s="2">
        <v>46</v>
      </c>
      <c r="C133" s="18">
        <f t="shared" si="15"/>
        <v>31</v>
      </c>
      <c r="D133" s="1">
        <f t="shared" si="12"/>
        <v>116.5</v>
      </c>
      <c r="E133" s="1">
        <f t="shared" si="13"/>
        <v>393.5</v>
      </c>
      <c r="F133" s="1">
        <f t="shared" si="16"/>
        <v>10</v>
      </c>
      <c r="G133" s="1">
        <f t="shared" si="17"/>
        <v>4</v>
      </c>
      <c r="H133" s="18">
        <f t="shared" si="14"/>
        <v>5</v>
      </c>
      <c r="I133" s="1"/>
      <c r="J133" s="2"/>
    </row>
    <row r="134" spans="1:10" x14ac:dyDescent="0.3">
      <c r="A134" s="1">
        <v>133</v>
      </c>
      <c r="B134" s="2">
        <v>53</v>
      </c>
      <c r="C134" s="18">
        <f t="shared" si="15"/>
        <v>34</v>
      </c>
      <c r="D134" s="1">
        <f t="shared" si="12"/>
        <v>117</v>
      </c>
      <c r="E134" s="1">
        <f t="shared" si="13"/>
        <v>393</v>
      </c>
      <c r="F134" s="1">
        <f t="shared" si="16"/>
        <v>12.5</v>
      </c>
      <c r="G134" s="1">
        <f t="shared" si="17"/>
        <v>0.5</v>
      </c>
      <c r="H134" s="18">
        <f t="shared" si="14"/>
        <v>5</v>
      </c>
      <c r="I134" s="1"/>
      <c r="J134" s="2"/>
    </row>
    <row r="135" spans="1:10" x14ac:dyDescent="0.3">
      <c r="A135" s="1">
        <v>134</v>
      </c>
      <c r="B135" s="2">
        <v>49</v>
      </c>
      <c r="C135" s="18">
        <f t="shared" si="15"/>
        <v>33</v>
      </c>
      <c r="D135" s="1">
        <f t="shared" si="12"/>
        <v>117.5</v>
      </c>
      <c r="E135" s="1">
        <f t="shared" si="13"/>
        <v>392.5</v>
      </c>
      <c r="F135" s="1">
        <f t="shared" si="16"/>
        <v>11</v>
      </c>
      <c r="G135" s="1">
        <f t="shared" si="17"/>
        <v>1</v>
      </c>
      <c r="H135" s="18">
        <f t="shared" si="14"/>
        <v>5</v>
      </c>
      <c r="I135" s="1"/>
      <c r="J135" s="2"/>
    </row>
    <row r="136" spans="1:10" x14ac:dyDescent="0.3">
      <c r="A136" s="1">
        <v>135</v>
      </c>
      <c r="B136" s="2">
        <v>46</v>
      </c>
      <c r="C136" s="18">
        <f t="shared" si="15"/>
        <v>29</v>
      </c>
      <c r="D136" s="1">
        <f t="shared" si="12"/>
        <v>118</v>
      </c>
      <c r="E136" s="1">
        <f t="shared" si="13"/>
        <v>392</v>
      </c>
      <c r="F136" s="1">
        <f t="shared" si="16"/>
        <v>6.5</v>
      </c>
      <c r="G136" s="1">
        <f t="shared" si="17"/>
        <v>4.5</v>
      </c>
      <c r="H136" s="18">
        <f t="shared" si="14"/>
        <v>5</v>
      </c>
      <c r="I136" s="1"/>
      <c r="J136" s="2"/>
    </row>
    <row r="137" spans="1:10" x14ac:dyDescent="0.3">
      <c r="A137" s="1">
        <v>136</v>
      </c>
      <c r="B137" s="2">
        <v>46</v>
      </c>
      <c r="C137" s="18">
        <f t="shared" si="15"/>
        <v>25</v>
      </c>
      <c r="D137" s="1">
        <f t="shared" si="12"/>
        <v>118.5</v>
      </c>
      <c r="E137" s="1">
        <f t="shared" si="13"/>
        <v>391.5</v>
      </c>
      <c r="F137" s="1">
        <f t="shared" si="16"/>
        <v>2</v>
      </c>
      <c r="G137" s="1">
        <f t="shared" si="17"/>
        <v>8</v>
      </c>
      <c r="H137" s="18">
        <f t="shared" si="14"/>
        <v>5</v>
      </c>
      <c r="I137" s="1"/>
      <c r="J137" s="2"/>
    </row>
    <row r="138" spans="1:10" x14ac:dyDescent="0.3">
      <c r="A138" s="1">
        <v>137</v>
      </c>
      <c r="B138" s="2">
        <v>47</v>
      </c>
      <c r="C138" s="18">
        <f t="shared" si="15"/>
        <v>22</v>
      </c>
      <c r="D138" s="1">
        <f t="shared" si="12"/>
        <v>119</v>
      </c>
      <c r="E138" s="1">
        <f t="shared" si="13"/>
        <v>391</v>
      </c>
      <c r="F138" s="1">
        <f t="shared" si="16"/>
        <v>0</v>
      </c>
      <c r="G138" s="1">
        <f t="shared" si="17"/>
        <v>10.5</v>
      </c>
      <c r="H138" s="18">
        <f t="shared" si="14"/>
        <v>5</v>
      </c>
      <c r="I138" s="1"/>
      <c r="J138" s="2"/>
    </row>
    <row r="139" spans="1:10" x14ac:dyDescent="0.3">
      <c r="A139" s="1">
        <v>138</v>
      </c>
      <c r="B139" s="2">
        <v>54</v>
      </c>
      <c r="C139" s="18">
        <f t="shared" si="15"/>
        <v>26</v>
      </c>
      <c r="D139" s="1">
        <f t="shared" si="12"/>
        <v>119.5</v>
      </c>
      <c r="E139" s="1">
        <f t="shared" si="13"/>
        <v>390.5</v>
      </c>
      <c r="F139" s="1">
        <f t="shared" si="16"/>
        <v>3.5</v>
      </c>
      <c r="G139" s="1">
        <f t="shared" si="17"/>
        <v>6</v>
      </c>
      <c r="H139" s="18">
        <f t="shared" si="14"/>
        <v>5</v>
      </c>
      <c r="I139" s="1"/>
      <c r="J139" s="2"/>
    </row>
    <row r="140" spans="1:10" x14ac:dyDescent="0.3">
      <c r="A140" s="1">
        <v>139</v>
      </c>
      <c r="B140" s="2">
        <v>46</v>
      </c>
      <c r="C140" s="18">
        <f t="shared" si="15"/>
        <v>22</v>
      </c>
      <c r="D140" s="1">
        <f t="shared" si="12"/>
        <v>120</v>
      </c>
      <c r="E140" s="1">
        <f t="shared" si="13"/>
        <v>390</v>
      </c>
      <c r="F140" s="1">
        <f t="shared" si="16"/>
        <v>0</v>
      </c>
      <c r="G140" s="1">
        <f t="shared" si="17"/>
        <v>9.5</v>
      </c>
      <c r="H140" s="18">
        <f t="shared" si="14"/>
        <v>5</v>
      </c>
      <c r="I140" s="1"/>
      <c r="J140" s="2"/>
    </row>
    <row r="141" spans="1:10" x14ac:dyDescent="0.3">
      <c r="A141" s="1">
        <v>140</v>
      </c>
      <c r="B141" s="2">
        <v>47</v>
      </c>
      <c r="C141" s="18">
        <f t="shared" si="15"/>
        <v>19</v>
      </c>
      <c r="D141" s="1">
        <f t="shared" si="12"/>
        <v>120.5</v>
      </c>
      <c r="E141" s="1">
        <f t="shared" si="13"/>
        <v>389.5</v>
      </c>
      <c r="F141" s="1">
        <f t="shared" si="16"/>
        <v>0</v>
      </c>
      <c r="G141" s="1">
        <f t="shared" si="17"/>
        <v>12</v>
      </c>
      <c r="H141" s="18">
        <f t="shared" si="14"/>
        <v>5</v>
      </c>
      <c r="I141" s="1"/>
      <c r="J141" s="2"/>
    </row>
    <row r="142" spans="1:10" x14ac:dyDescent="0.3">
      <c r="A142" s="1">
        <v>141</v>
      </c>
      <c r="B142" s="2">
        <v>55</v>
      </c>
      <c r="C142" s="18">
        <f t="shared" si="15"/>
        <v>24</v>
      </c>
      <c r="D142" s="1">
        <f t="shared" si="12"/>
        <v>121</v>
      </c>
      <c r="E142" s="1">
        <f t="shared" si="13"/>
        <v>389</v>
      </c>
      <c r="F142" s="1">
        <f t="shared" si="16"/>
        <v>4.5</v>
      </c>
      <c r="G142" s="1">
        <f t="shared" si="17"/>
        <v>6.5</v>
      </c>
      <c r="H142" s="18">
        <f t="shared" si="14"/>
        <v>5</v>
      </c>
      <c r="I142" s="1"/>
      <c r="J142" s="2"/>
    </row>
    <row r="143" spans="1:10" x14ac:dyDescent="0.3">
      <c r="A143" s="1">
        <v>142</v>
      </c>
      <c r="B143" s="2">
        <v>48</v>
      </c>
      <c r="C143" s="18">
        <f t="shared" si="15"/>
        <v>22</v>
      </c>
      <c r="D143" s="1">
        <f t="shared" si="12"/>
        <v>121.5</v>
      </c>
      <c r="E143" s="1">
        <f t="shared" si="13"/>
        <v>388.5</v>
      </c>
      <c r="F143" s="1">
        <f t="shared" si="16"/>
        <v>2</v>
      </c>
      <c r="G143" s="1">
        <f t="shared" si="17"/>
        <v>8</v>
      </c>
      <c r="H143" s="18">
        <f t="shared" si="14"/>
        <v>5</v>
      </c>
      <c r="I143" s="1"/>
      <c r="J143" s="2"/>
    </row>
    <row r="144" spans="1:10" x14ac:dyDescent="0.3">
      <c r="A144" s="1">
        <v>143</v>
      </c>
      <c r="B144" s="2">
        <v>53</v>
      </c>
      <c r="C144" s="18">
        <f t="shared" si="15"/>
        <v>25</v>
      </c>
      <c r="D144" s="1">
        <f t="shared" si="12"/>
        <v>122</v>
      </c>
      <c r="E144" s="1">
        <f t="shared" si="13"/>
        <v>388</v>
      </c>
      <c r="F144" s="1">
        <f t="shared" si="16"/>
        <v>4.5</v>
      </c>
      <c r="G144" s="1">
        <f t="shared" si="17"/>
        <v>4.5</v>
      </c>
      <c r="H144" s="18">
        <f t="shared" si="14"/>
        <v>5</v>
      </c>
      <c r="I144" s="1"/>
      <c r="J144" s="2"/>
    </row>
    <row r="145" spans="1:10" x14ac:dyDescent="0.3">
      <c r="A145" s="1">
        <v>144</v>
      </c>
      <c r="B145" s="2">
        <v>52</v>
      </c>
      <c r="C145" s="18">
        <f t="shared" si="15"/>
        <v>27</v>
      </c>
      <c r="D145" s="1">
        <f t="shared" si="12"/>
        <v>122.5</v>
      </c>
      <c r="E145" s="1">
        <f t="shared" si="13"/>
        <v>387.5</v>
      </c>
      <c r="F145" s="1">
        <f t="shared" si="16"/>
        <v>6</v>
      </c>
      <c r="G145" s="1">
        <f t="shared" si="17"/>
        <v>2</v>
      </c>
      <c r="H145" s="18">
        <f t="shared" si="14"/>
        <v>5</v>
      </c>
      <c r="I145" s="1"/>
      <c r="J145" s="2"/>
    </row>
    <row r="146" spans="1:10" x14ac:dyDescent="0.3">
      <c r="A146" s="1">
        <v>145</v>
      </c>
      <c r="B146" s="2">
        <v>48</v>
      </c>
      <c r="C146" s="18">
        <f t="shared" si="15"/>
        <v>25</v>
      </c>
      <c r="D146" s="1">
        <f t="shared" si="12"/>
        <v>123</v>
      </c>
      <c r="E146" s="1">
        <f t="shared" si="13"/>
        <v>387</v>
      </c>
      <c r="F146" s="1">
        <f t="shared" si="16"/>
        <v>3.5</v>
      </c>
      <c r="G146" s="1">
        <f t="shared" si="17"/>
        <v>3.5</v>
      </c>
      <c r="H146" s="18">
        <f t="shared" si="14"/>
        <v>5</v>
      </c>
      <c r="I146" s="1"/>
      <c r="J146" s="2"/>
    </row>
    <row r="147" spans="1:10" x14ac:dyDescent="0.3">
      <c r="A147" s="1">
        <v>146</v>
      </c>
      <c r="B147" s="2">
        <v>55</v>
      </c>
      <c r="C147" s="18">
        <f t="shared" si="15"/>
        <v>30</v>
      </c>
      <c r="D147" s="1">
        <f t="shared" si="12"/>
        <v>123.5</v>
      </c>
      <c r="E147" s="1">
        <f t="shared" si="13"/>
        <v>386.5</v>
      </c>
      <c r="F147" s="1">
        <f t="shared" si="16"/>
        <v>8</v>
      </c>
      <c r="G147" s="1">
        <f t="shared" si="17"/>
        <v>0</v>
      </c>
      <c r="H147" s="18">
        <f t="shared" si="14"/>
        <v>5</v>
      </c>
      <c r="I147" s="1"/>
      <c r="J147" s="2"/>
    </row>
    <row r="148" spans="1:10" x14ac:dyDescent="0.3">
      <c r="A148" s="1">
        <v>147</v>
      </c>
      <c r="B148" s="2">
        <v>48</v>
      </c>
      <c r="C148" s="18">
        <f t="shared" si="15"/>
        <v>28</v>
      </c>
      <c r="D148" s="1">
        <f t="shared" si="12"/>
        <v>124</v>
      </c>
      <c r="E148" s="1">
        <f t="shared" si="13"/>
        <v>386</v>
      </c>
      <c r="F148" s="1">
        <f t="shared" si="16"/>
        <v>5.5</v>
      </c>
      <c r="G148" s="1">
        <f t="shared" si="17"/>
        <v>1.5</v>
      </c>
      <c r="H148" s="18">
        <f t="shared" si="14"/>
        <v>5</v>
      </c>
      <c r="I148" s="1"/>
      <c r="J148" s="2"/>
    </row>
    <row r="149" spans="1:10" x14ac:dyDescent="0.3">
      <c r="A149" s="1">
        <v>148</v>
      </c>
      <c r="B149" s="2">
        <v>52</v>
      </c>
      <c r="C149" s="18">
        <f t="shared" si="15"/>
        <v>30</v>
      </c>
      <c r="D149" s="1">
        <f t="shared" si="12"/>
        <v>124.5</v>
      </c>
      <c r="E149" s="1">
        <f t="shared" si="13"/>
        <v>385.5</v>
      </c>
      <c r="F149" s="1">
        <f t="shared" si="16"/>
        <v>7</v>
      </c>
      <c r="G149" s="1">
        <f t="shared" si="17"/>
        <v>0</v>
      </c>
      <c r="H149" s="18">
        <f t="shared" si="14"/>
        <v>5</v>
      </c>
      <c r="I149" s="1"/>
      <c r="J149" s="2"/>
    </row>
    <row r="150" spans="1:10" x14ac:dyDescent="0.3">
      <c r="A150" s="1">
        <v>149</v>
      </c>
      <c r="B150" s="2">
        <v>51</v>
      </c>
      <c r="C150" s="18">
        <f t="shared" si="15"/>
        <v>31</v>
      </c>
      <c r="D150" s="1">
        <f t="shared" si="12"/>
        <v>125</v>
      </c>
      <c r="E150" s="1">
        <f t="shared" si="13"/>
        <v>385</v>
      </c>
      <c r="F150" s="1">
        <f t="shared" si="16"/>
        <v>7.5</v>
      </c>
      <c r="G150" s="1">
        <f t="shared" si="17"/>
        <v>0</v>
      </c>
      <c r="H150" s="18">
        <f t="shared" si="14"/>
        <v>5</v>
      </c>
      <c r="I150" s="1"/>
      <c r="J150" s="2"/>
    </row>
    <row r="151" spans="1:10" x14ac:dyDescent="0.3">
      <c r="A151" s="1">
        <v>150</v>
      </c>
      <c r="B151" s="2">
        <v>47</v>
      </c>
      <c r="C151" s="18">
        <f t="shared" si="15"/>
        <v>28</v>
      </c>
      <c r="D151" s="1">
        <f t="shared" si="12"/>
        <v>125.5</v>
      </c>
      <c r="E151" s="1">
        <f t="shared" si="13"/>
        <v>384.5</v>
      </c>
      <c r="F151" s="1">
        <f t="shared" si="16"/>
        <v>4</v>
      </c>
      <c r="G151" s="1">
        <f t="shared" si="17"/>
        <v>2.5</v>
      </c>
      <c r="H151" s="18">
        <f t="shared" si="14"/>
        <v>5</v>
      </c>
      <c r="I151" s="1"/>
      <c r="J151" s="2"/>
    </row>
    <row r="152" spans="1:10" x14ac:dyDescent="0.3">
      <c r="A152" s="1">
        <v>151</v>
      </c>
      <c r="B152" s="2">
        <v>47</v>
      </c>
      <c r="C152" s="18">
        <f t="shared" si="15"/>
        <v>25</v>
      </c>
      <c r="D152" s="1">
        <f t="shared" si="12"/>
        <v>126</v>
      </c>
      <c r="E152" s="1">
        <f t="shared" si="13"/>
        <v>384</v>
      </c>
      <c r="F152" s="1">
        <f t="shared" si="16"/>
        <v>0.5</v>
      </c>
      <c r="G152" s="1">
        <f t="shared" si="17"/>
        <v>5</v>
      </c>
      <c r="H152" s="18">
        <f t="shared" si="14"/>
        <v>5</v>
      </c>
      <c r="I152" s="1"/>
      <c r="J152" s="2"/>
    </row>
    <row r="153" spans="1:10" x14ac:dyDescent="0.3">
      <c r="A153" s="1">
        <v>152</v>
      </c>
      <c r="B153" s="2">
        <v>47</v>
      </c>
      <c r="C153" s="18">
        <f t="shared" si="15"/>
        <v>22</v>
      </c>
      <c r="D153" s="1">
        <f t="shared" si="12"/>
        <v>126.5</v>
      </c>
      <c r="E153" s="1">
        <f t="shared" si="13"/>
        <v>383.5</v>
      </c>
      <c r="F153" s="1">
        <f t="shared" si="16"/>
        <v>0</v>
      </c>
      <c r="G153" s="1">
        <f t="shared" si="17"/>
        <v>7.5</v>
      </c>
      <c r="H153" s="18">
        <f t="shared" si="14"/>
        <v>5</v>
      </c>
      <c r="I153" s="1"/>
      <c r="J153" s="2"/>
    </row>
    <row r="154" spans="1:10" x14ac:dyDescent="0.3">
      <c r="A154" s="1">
        <v>153</v>
      </c>
      <c r="B154" s="2">
        <v>49</v>
      </c>
      <c r="C154" s="18">
        <f t="shared" si="15"/>
        <v>21</v>
      </c>
      <c r="D154" s="1">
        <f t="shared" si="12"/>
        <v>127</v>
      </c>
      <c r="E154" s="1">
        <f t="shared" si="13"/>
        <v>383</v>
      </c>
      <c r="F154" s="1">
        <f t="shared" si="16"/>
        <v>0</v>
      </c>
      <c r="G154" s="1">
        <f t="shared" si="17"/>
        <v>8</v>
      </c>
      <c r="H154" s="18">
        <f t="shared" si="14"/>
        <v>5</v>
      </c>
      <c r="I154" s="1"/>
      <c r="J154" s="2"/>
    </row>
    <row r="155" spans="1:10" x14ac:dyDescent="0.3">
      <c r="A155" s="1">
        <v>154</v>
      </c>
      <c r="B155" s="2">
        <v>51</v>
      </c>
      <c r="C155" s="18">
        <f t="shared" si="15"/>
        <v>22</v>
      </c>
      <c r="D155" s="1">
        <f t="shared" si="12"/>
        <v>127.5</v>
      </c>
      <c r="E155" s="1">
        <f t="shared" si="13"/>
        <v>382.5</v>
      </c>
      <c r="F155" s="1">
        <f t="shared" si="16"/>
        <v>0.5</v>
      </c>
      <c r="G155" s="1">
        <f t="shared" si="17"/>
        <v>6.5</v>
      </c>
      <c r="H155" s="18">
        <f t="shared" si="14"/>
        <v>5</v>
      </c>
      <c r="I155" s="1"/>
      <c r="J155" s="2"/>
    </row>
    <row r="156" spans="1:10" x14ac:dyDescent="0.3">
      <c r="A156" s="1">
        <v>155</v>
      </c>
      <c r="B156" s="2">
        <v>48</v>
      </c>
      <c r="C156" s="18">
        <f t="shared" si="15"/>
        <v>20</v>
      </c>
      <c r="D156" s="1">
        <f t="shared" si="12"/>
        <v>128</v>
      </c>
      <c r="E156" s="1">
        <f t="shared" si="13"/>
        <v>382</v>
      </c>
      <c r="F156" s="1">
        <f t="shared" si="16"/>
        <v>0</v>
      </c>
      <c r="G156" s="1">
        <f t="shared" si="17"/>
        <v>8</v>
      </c>
      <c r="H156" s="18">
        <f t="shared" si="14"/>
        <v>5</v>
      </c>
      <c r="I156" s="1"/>
      <c r="J156" s="2"/>
    </row>
    <row r="157" spans="1:10" x14ac:dyDescent="0.3">
      <c r="A157" s="1">
        <v>156</v>
      </c>
      <c r="B157" s="2">
        <v>50</v>
      </c>
      <c r="C157" s="18">
        <f t="shared" si="15"/>
        <v>20</v>
      </c>
      <c r="D157" s="1">
        <f t="shared" si="12"/>
        <v>128.5</v>
      </c>
      <c r="E157" s="1">
        <f t="shared" si="13"/>
        <v>381.5</v>
      </c>
      <c r="F157" s="1">
        <f t="shared" si="16"/>
        <v>0</v>
      </c>
      <c r="G157" s="1">
        <f t="shared" si="17"/>
        <v>7.5</v>
      </c>
      <c r="H157" s="18">
        <f t="shared" si="14"/>
        <v>5</v>
      </c>
      <c r="I157" s="1"/>
      <c r="J157" s="2"/>
    </row>
    <row r="158" spans="1:10" x14ac:dyDescent="0.3">
      <c r="A158" s="1">
        <v>157</v>
      </c>
      <c r="B158" s="2">
        <v>47</v>
      </c>
      <c r="C158" s="18">
        <f t="shared" si="15"/>
        <v>17</v>
      </c>
      <c r="D158" s="1">
        <f t="shared" si="12"/>
        <v>129</v>
      </c>
      <c r="E158" s="1">
        <f t="shared" si="13"/>
        <v>381</v>
      </c>
      <c r="F158" s="1">
        <f t="shared" si="16"/>
        <v>0</v>
      </c>
      <c r="G158" s="1">
        <f t="shared" si="17"/>
        <v>10</v>
      </c>
      <c r="H158" s="18">
        <f t="shared" si="14"/>
        <v>5</v>
      </c>
      <c r="I158" s="1"/>
      <c r="J158" s="2"/>
    </row>
    <row r="159" spans="1:10" x14ac:dyDescent="0.3">
      <c r="A159" s="1">
        <v>158</v>
      </c>
      <c r="B159" s="2">
        <v>47</v>
      </c>
      <c r="C159" s="18">
        <f t="shared" si="15"/>
        <v>14</v>
      </c>
      <c r="D159" s="1">
        <f t="shared" si="12"/>
        <v>129.5</v>
      </c>
      <c r="E159" s="1">
        <f t="shared" si="13"/>
        <v>380.5</v>
      </c>
      <c r="F159" s="1">
        <f t="shared" si="16"/>
        <v>0</v>
      </c>
      <c r="G159" s="1">
        <f t="shared" si="17"/>
        <v>12.5</v>
      </c>
      <c r="H159" s="18">
        <f t="shared" si="14"/>
        <v>5</v>
      </c>
      <c r="I159" s="1"/>
      <c r="J159" s="2"/>
    </row>
    <row r="160" spans="1:10" x14ac:dyDescent="0.3">
      <c r="A160" s="1">
        <v>159</v>
      </c>
      <c r="B160" s="2">
        <v>50</v>
      </c>
      <c r="C160" s="18">
        <f t="shared" si="15"/>
        <v>14</v>
      </c>
      <c r="D160" s="1">
        <f t="shared" si="12"/>
        <v>130</v>
      </c>
      <c r="E160" s="1">
        <f t="shared" si="13"/>
        <v>380</v>
      </c>
      <c r="F160" s="1">
        <f t="shared" si="16"/>
        <v>0</v>
      </c>
      <c r="G160" s="1">
        <f t="shared" si="17"/>
        <v>12</v>
      </c>
      <c r="H160" s="18">
        <f t="shared" si="14"/>
        <v>5</v>
      </c>
      <c r="I160" s="1"/>
      <c r="J160" s="2"/>
    </row>
    <row r="161" spans="1:10" x14ac:dyDescent="0.3">
      <c r="A161" s="1">
        <v>160</v>
      </c>
      <c r="B161" s="2">
        <v>50</v>
      </c>
      <c r="C161" s="18">
        <f t="shared" si="15"/>
        <v>14</v>
      </c>
      <c r="D161" s="1">
        <f t="shared" si="12"/>
        <v>130.5</v>
      </c>
      <c r="E161" s="1">
        <f t="shared" si="13"/>
        <v>379.5</v>
      </c>
      <c r="F161" s="1">
        <f t="shared" si="16"/>
        <v>0</v>
      </c>
      <c r="G161" s="1">
        <f t="shared" si="17"/>
        <v>11.5</v>
      </c>
      <c r="H161" s="18">
        <f t="shared" si="14"/>
        <v>5</v>
      </c>
      <c r="I161" s="1"/>
      <c r="J161" s="2"/>
    </row>
    <row r="162" spans="1:10" x14ac:dyDescent="0.3">
      <c r="A162" s="1">
        <v>161</v>
      </c>
      <c r="B162" s="2">
        <v>53</v>
      </c>
      <c r="C162" s="18">
        <f t="shared" si="15"/>
        <v>17</v>
      </c>
      <c r="D162" s="1">
        <f t="shared" si="12"/>
        <v>131</v>
      </c>
      <c r="E162" s="1">
        <f t="shared" si="13"/>
        <v>379</v>
      </c>
      <c r="F162" s="1">
        <f t="shared" si="16"/>
        <v>2.5</v>
      </c>
      <c r="G162" s="1">
        <f t="shared" si="17"/>
        <v>8</v>
      </c>
      <c r="H162" s="18">
        <f t="shared" si="14"/>
        <v>5</v>
      </c>
      <c r="I162" s="1"/>
      <c r="J162" s="2"/>
    </row>
    <row r="163" spans="1:10" x14ac:dyDescent="0.3">
      <c r="A163" s="1">
        <v>162</v>
      </c>
      <c r="B163" s="2">
        <v>48</v>
      </c>
      <c r="C163" s="18">
        <f t="shared" si="15"/>
        <v>15</v>
      </c>
      <c r="D163" s="1">
        <f t="shared" si="12"/>
        <v>131.5</v>
      </c>
      <c r="E163" s="1">
        <f t="shared" si="13"/>
        <v>378.5</v>
      </c>
      <c r="F163" s="1">
        <f t="shared" si="16"/>
        <v>0</v>
      </c>
      <c r="G163" s="1">
        <f t="shared" si="17"/>
        <v>9.5</v>
      </c>
      <c r="H163" s="18">
        <f t="shared" si="14"/>
        <v>5</v>
      </c>
      <c r="I163" s="1"/>
      <c r="J163" s="2"/>
    </row>
    <row r="164" spans="1:10" x14ac:dyDescent="0.3">
      <c r="A164" s="1">
        <v>163</v>
      </c>
      <c r="B164" s="2">
        <v>47</v>
      </c>
      <c r="C164" s="18">
        <f t="shared" si="15"/>
        <v>12</v>
      </c>
      <c r="D164" s="1">
        <f t="shared" si="12"/>
        <v>132</v>
      </c>
      <c r="E164" s="1">
        <f t="shared" si="13"/>
        <v>378</v>
      </c>
      <c r="F164" s="1">
        <f t="shared" si="16"/>
        <v>0</v>
      </c>
      <c r="G164" s="1">
        <f t="shared" si="17"/>
        <v>12</v>
      </c>
      <c r="H164" s="18">
        <f t="shared" si="14"/>
        <v>5</v>
      </c>
      <c r="I164" s="1"/>
      <c r="J164" s="2"/>
    </row>
    <row r="165" spans="1:10" x14ac:dyDescent="0.3">
      <c r="A165" s="1">
        <v>164</v>
      </c>
      <c r="B165" s="2">
        <v>52</v>
      </c>
      <c r="C165" s="18">
        <f t="shared" si="15"/>
        <v>14</v>
      </c>
      <c r="D165" s="1">
        <f t="shared" si="12"/>
        <v>132.5</v>
      </c>
      <c r="E165" s="1">
        <f t="shared" si="13"/>
        <v>377.5</v>
      </c>
      <c r="F165" s="1">
        <f t="shared" si="16"/>
        <v>1.5</v>
      </c>
      <c r="G165" s="1">
        <f t="shared" si="17"/>
        <v>9.5</v>
      </c>
      <c r="H165" s="18">
        <f t="shared" si="14"/>
        <v>5</v>
      </c>
      <c r="I165" s="1"/>
      <c r="J165" s="2"/>
    </row>
    <row r="166" spans="1:10" x14ac:dyDescent="0.3">
      <c r="A166" s="1">
        <v>165</v>
      </c>
      <c r="B166" s="2">
        <v>53</v>
      </c>
      <c r="C166" s="18">
        <f t="shared" si="15"/>
        <v>17</v>
      </c>
      <c r="D166" s="1">
        <f t="shared" si="12"/>
        <v>133</v>
      </c>
      <c r="E166" s="1">
        <f t="shared" si="13"/>
        <v>377</v>
      </c>
      <c r="F166" s="1">
        <f t="shared" si="16"/>
        <v>4</v>
      </c>
      <c r="G166" s="1">
        <f t="shared" si="17"/>
        <v>6</v>
      </c>
      <c r="H166" s="18">
        <f t="shared" si="14"/>
        <v>5</v>
      </c>
      <c r="I166" s="1"/>
      <c r="J166" s="2"/>
    </row>
    <row r="167" spans="1:10" x14ac:dyDescent="0.3">
      <c r="A167" s="1">
        <v>166</v>
      </c>
      <c r="B167" s="2">
        <v>54</v>
      </c>
      <c r="C167" s="18">
        <f t="shared" si="15"/>
        <v>21</v>
      </c>
      <c r="D167" s="1">
        <f t="shared" si="12"/>
        <v>133.5</v>
      </c>
      <c r="E167" s="1">
        <f t="shared" si="13"/>
        <v>376.5</v>
      </c>
      <c r="F167" s="1">
        <f t="shared" si="16"/>
        <v>7.5</v>
      </c>
      <c r="G167" s="1">
        <f t="shared" si="17"/>
        <v>1.5</v>
      </c>
      <c r="H167" s="18">
        <f t="shared" si="14"/>
        <v>5</v>
      </c>
      <c r="I167" s="1"/>
      <c r="J167" s="2"/>
    </row>
    <row r="168" spans="1:10" x14ac:dyDescent="0.3">
      <c r="A168" s="1">
        <v>167</v>
      </c>
      <c r="B168" s="2">
        <v>56</v>
      </c>
      <c r="C168" s="18">
        <f t="shared" si="15"/>
        <v>27</v>
      </c>
      <c r="D168" s="1">
        <f t="shared" si="12"/>
        <v>134</v>
      </c>
      <c r="E168" s="1">
        <f t="shared" si="13"/>
        <v>376</v>
      </c>
      <c r="F168" s="1">
        <f t="shared" si="16"/>
        <v>13</v>
      </c>
      <c r="G168" s="1">
        <f t="shared" si="17"/>
        <v>0</v>
      </c>
      <c r="H168" s="18">
        <f t="shared" si="14"/>
        <v>5</v>
      </c>
      <c r="I168" s="1"/>
      <c r="J168" s="2"/>
    </row>
    <row r="169" spans="1:10" x14ac:dyDescent="0.3">
      <c r="A169" s="1">
        <v>168</v>
      </c>
      <c r="B169" s="2">
        <v>51</v>
      </c>
      <c r="C169" s="18">
        <f t="shared" si="15"/>
        <v>28</v>
      </c>
      <c r="D169" s="1">
        <f t="shared" si="12"/>
        <v>134.5</v>
      </c>
      <c r="E169" s="1">
        <f t="shared" si="13"/>
        <v>375.5</v>
      </c>
      <c r="F169" s="1">
        <f t="shared" si="16"/>
        <v>13.5</v>
      </c>
      <c r="G169" s="1">
        <f t="shared" si="17"/>
        <v>0</v>
      </c>
      <c r="H169" s="18">
        <f t="shared" si="14"/>
        <v>5</v>
      </c>
      <c r="I169" s="1"/>
      <c r="J169" s="2"/>
    </row>
    <row r="170" spans="1:10" x14ac:dyDescent="0.3">
      <c r="A170" s="1">
        <v>169</v>
      </c>
      <c r="B170" s="2">
        <v>50</v>
      </c>
      <c r="C170" s="18">
        <f t="shared" si="15"/>
        <v>28</v>
      </c>
      <c r="D170" s="1">
        <f t="shared" si="12"/>
        <v>135</v>
      </c>
      <c r="E170" s="1">
        <f t="shared" si="13"/>
        <v>375</v>
      </c>
      <c r="F170" s="1">
        <f t="shared" si="16"/>
        <v>13</v>
      </c>
      <c r="G170" s="1">
        <f t="shared" si="17"/>
        <v>0</v>
      </c>
      <c r="H170" s="18">
        <f t="shared" si="14"/>
        <v>5</v>
      </c>
      <c r="I170" s="1"/>
      <c r="J170" s="2"/>
    </row>
    <row r="171" spans="1:10" x14ac:dyDescent="0.3">
      <c r="A171" s="1">
        <v>170</v>
      </c>
      <c r="B171" s="2">
        <v>47</v>
      </c>
      <c r="C171" s="18">
        <f t="shared" si="15"/>
        <v>25</v>
      </c>
      <c r="D171" s="1">
        <f t="shared" si="12"/>
        <v>135.5</v>
      </c>
      <c r="E171" s="1">
        <f t="shared" si="13"/>
        <v>374.5</v>
      </c>
      <c r="F171" s="1">
        <f t="shared" si="16"/>
        <v>9.5</v>
      </c>
      <c r="G171" s="1">
        <f t="shared" si="17"/>
        <v>2.5</v>
      </c>
      <c r="H171" s="18">
        <f t="shared" si="14"/>
        <v>5</v>
      </c>
      <c r="I171" s="1"/>
      <c r="J171" s="2"/>
    </row>
    <row r="172" spans="1:10" x14ac:dyDescent="0.3">
      <c r="A172" s="1">
        <v>171</v>
      </c>
      <c r="B172" s="2">
        <v>49</v>
      </c>
      <c r="C172" s="18">
        <f t="shared" si="15"/>
        <v>24</v>
      </c>
      <c r="D172" s="1">
        <f t="shared" si="12"/>
        <v>136</v>
      </c>
      <c r="E172" s="1">
        <f t="shared" si="13"/>
        <v>374</v>
      </c>
      <c r="F172" s="1">
        <f t="shared" si="16"/>
        <v>8</v>
      </c>
      <c r="G172" s="1">
        <f t="shared" si="17"/>
        <v>3</v>
      </c>
      <c r="H172" s="18">
        <f t="shared" si="14"/>
        <v>5</v>
      </c>
      <c r="I172" s="1"/>
      <c r="J172" s="2"/>
    </row>
    <row r="173" spans="1:10" x14ac:dyDescent="0.3">
      <c r="A173" s="1">
        <v>172</v>
      </c>
      <c r="B173" s="2">
        <v>50</v>
      </c>
      <c r="C173" s="18">
        <f t="shared" si="15"/>
        <v>24</v>
      </c>
      <c r="D173" s="1">
        <f t="shared" si="12"/>
        <v>136.5</v>
      </c>
      <c r="E173" s="1">
        <f t="shared" si="13"/>
        <v>373.5</v>
      </c>
      <c r="F173" s="1">
        <f t="shared" si="16"/>
        <v>7.5</v>
      </c>
      <c r="G173" s="1">
        <f t="shared" si="17"/>
        <v>2.5</v>
      </c>
      <c r="H173" s="18">
        <f t="shared" si="14"/>
        <v>5</v>
      </c>
      <c r="I173" s="1"/>
      <c r="J173" s="2"/>
    </row>
    <row r="174" spans="1:10" x14ac:dyDescent="0.3">
      <c r="A174" s="1">
        <v>173</v>
      </c>
      <c r="B174" s="2">
        <v>56</v>
      </c>
      <c r="C174" s="18">
        <f t="shared" si="15"/>
        <v>30</v>
      </c>
      <c r="D174" s="1">
        <f t="shared" si="12"/>
        <v>137</v>
      </c>
      <c r="E174" s="1">
        <f t="shared" si="13"/>
        <v>373</v>
      </c>
      <c r="F174" s="1">
        <f t="shared" si="16"/>
        <v>13</v>
      </c>
      <c r="G174" s="1">
        <f t="shared" si="17"/>
        <v>0</v>
      </c>
      <c r="H174" s="18">
        <f t="shared" si="14"/>
        <v>5</v>
      </c>
      <c r="I174" s="1"/>
      <c r="J174" s="2"/>
    </row>
    <row r="175" spans="1:10" x14ac:dyDescent="0.3">
      <c r="A175" s="1">
        <v>174</v>
      </c>
      <c r="B175" s="2">
        <v>51</v>
      </c>
      <c r="C175" s="18">
        <f t="shared" si="15"/>
        <v>31</v>
      </c>
      <c r="D175" s="1">
        <f t="shared" si="12"/>
        <v>137.5</v>
      </c>
      <c r="E175" s="1">
        <f t="shared" si="13"/>
        <v>372.5</v>
      </c>
      <c r="F175" s="1">
        <f t="shared" si="16"/>
        <v>13.5</v>
      </c>
      <c r="G175" s="1">
        <f t="shared" si="17"/>
        <v>0</v>
      </c>
      <c r="H175" s="18">
        <f t="shared" si="14"/>
        <v>5</v>
      </c>
      <c r="I175" s="1"/>
      <c r="J175" s="2"/>
    </row>
    <row r="176" spans="1:10" x14ac:dyDescent="0.3">
      <c r="A176" s="1">
        <v>175</v>
      </c>
      <c r="B176" s="2">
        <v>56</v>
      </c>
      <c r="C176" s="18">
        <f t="shared" si="15"/>
        <v>37</v>
      </c>
      <c r="D176" s="1">
        <f t="shared" si="12"/>
        <v>138</v>
      </c>
      <c r="E176" s="1">
        <f t="shared" si="13"/>
        <v>372</v>
      </c>
      <c r="F176" s="1">
        <f t="shared" si="16"/>
        <v>19</v>
      </c>
      <c r="G176" s="1">
        <f t="shared" si="17"/>
        <v>0</v>
      </c>
      <c r="H176" s="18">
        <f t="shared" si="14"/>
        <v>5</v>
      </c>
      <c r="I176" s="1"/>
      <c r="J176" s="2"/>
    </row>
    <row r="177" spans="1:10" x14ac:dyDescent="0.3">
      <c r="A177" s="1">
        <v>176</v>
      </c>
      <c r="B177" s="2">
        <v>48</v>
      </c>
      <c r="C177" s="18">
        <f t="shared" si="15"/>
        <v>35</v>
      </c>
      <c r="D177" s="1">
        <f t="shared" si="12"/>
        <v>138.5</v>
      </c>
      <c r="E177" s="1">
        <f t="shared" si="13"/>
        <v>371.5</v>
      </c>
      <c r="F177" s="1">
        <f t="shared" si="16"/>
        <v>16.5</v>
      </c>
      <c r="G177" s="1">
        <f t="shared" si="17"/>
        <v>1.5</v>
      </c>
      <c r="H177" s="18">
        <f t="shared" si="14"/>
        <v>5</v>
      </c>
      <c r="I177" s="1"/>
      <c r="J177" s="2"/>
    </row>
    <row r="178" spans="1:10" x14ac:dyDescent="0.3">
      <c r="A178" s="1">
        <v>177</v>
      </c>
      <c r="B178" s="2">
        <v>53</v>
      </c>
      <c r="C178" s="18">
        <f t="shared" si="15"/>
        <v>38</v>
      </c>
      <c r="D178" s="1">
        <f t="shared" si="12"/>
        <v>139</v>
      </c>
      <c r="E178" s="1">
        <f t="shared" si="13"/>
        <v>371</v>
      </c>
      <c r="F178" s="1">
        <f t="shared" si="16"/>
        <v>19</v>
      </c>
      <c r="G178" s="1">
        <f t="shared" si="17"/>
        <v>0</v>
      </c>
      <c r="H178" s="18">
        <f t="shared" si="14"/>
        <v>5</v>
      </c>
      <c r="I178" s="1"/>
      <c r="J178" s="2"/>
    </row>
    <row r="179" spans="1:10" x14ac:dyDescent="0.3">
      <c r="A179" s="1">
        <v>178</v>
      </c>
      <c r="B179" s="2">
        <v>53</v>
      </c>
      <c r="C179" s="18">
        <f t="shared" si="15"/>
        <v>41</v>
      </c>
      <c r="D179" s="1">
        <f t="shared" si="12"/>
        <v>139.5</v>
      </c>
      <c r="E179" s="1">
        <f t="shared" si="13"/>
        <v>370.5</v>
      </c>
      <c r="F179" s="1">
        <f t="shared" si="16"/>
        <v>21.5</v>
      </c>
      <c r="G179" s="1">
        <f t="shared" si="17"/>
        <v>0</v>
      </c>
      <c r="H179" s="18">
        <f t="shared" si="14"/>
        <v>5</v>
      </c>
      <c r="I179" s="1"/>
      <c r="J179" s="2"/>
    </row>
    <row r="180" spans="1:10" x14ac:dyDescent="0.3">
      <c r="A180" s="1">
        <v>179</v>
      </c>
      <c r="B180" s="2">
        <v>49</v>
      </c>
      <c r="C180" s="18">
        <f t="shared" si="15"/>
        <v>40</v>
      </c>
      <c r="D180" s="1">
        <f t="shared" si="12"/>
        <v>140</v>
      </c>
      <c r="E180" s="1">
        <f t="shared" si="13"/>
        <v>370</v>
      </c>
      <c r="F180" s="1">
        <f t="shared" si="16"/>
        <v>20</v>
      </c>
      <c r="G180" s="1">
        <f t="shared" si="17"/>
        <v>0.5</v>
      </c>
      <c r="H180" s="18">
        <f t="shared" si="14"/>
        <v>5</v>
      </c>
      <c r="I180" s="1"/>
      <c r="J180" s="2"/>
    </row>
    <row r="181" spans="1:10" x14ac:dyDescent="0.3">
      <c r="A181" s="1">
        <v>180</v>
      </c>
      <c r="B181" s="2">
        <v>50</v>
      </c>
      <c r="C181" s="18">
        <f t="shared" si="15"/>
        <v>40</v>
      </c>
      <c r="D181" s="1">
        <f t="shared" si="12"/>
        <v>140.5</v>
      </c>
      <c r="E181" s="1">
        <f t="shared" si="13"/>
        <v>369.5</v>
      </c>
      <c r="F181" s="1">
        <f t="shared" si="16"/>
        <v>19.5</v>
      </c>
      <c r="G181" s="1">
        <f t="shared" si="17"/>
        <v>0</v>
      </c>
      <c r="H181" s="18">
        <f t="shared" si="14"/>
        <v>5</v>
      </c>
      <c r="I181" s="1"/>
      <c r="J181" s="2"/>
    </row>
    <row r="182" spans="1:10" x14ac:dyDescent="0.3">
      <c r="A182" s="1">
        <v>181</v>
      </c>
      <c r="B182" s="2">
        <v>46</v>
      </c>
      <c r="C182" s="18">
        <f t="shared" si="15"/>
        <v>36</v>
      </c>
      <c r="D182" s="1">
        <f t="shared" si="12"/>
        <v>141</v>
      </c>
      <c r="E182" s="1">
        <f t="shared" si="13"/>
        <v>369</v>
      </c>
      <c r="F182" s="1">
        <f t="shared" si="16"/>
        <v>15</v>
      </c>
      <c r="G182" s="1">
        <f t="shared" si="17"/>
        <v>3.5</v>
      </c>
      <c r="H182" s="18">
        <f t="shared" si="14"/>
        <v>5</v>
      </c>
      <c r="I182" s="1"/>
      <c r="J182" s="2"/>
    </row>
    <row r="183" spans="1:10" x14ac:dyDescent="0.3">
      <c r="A183" s="1">
        <v>182</v>
      </c>
      <c r="B183" s="2">
        <v>47</v>
      </c>
      <c r="C183" s="18">
        <f t="shared" si="15"/>
        <v>33</v>
      </c>
      <c r="D183" s="1">
        <f t="shared" si="12"/>
        <v>141.5</v>
      </c>
      <c r="E183" s="1">
        <f t="shared" si="13"/>
        <v>368.5</v>
      </c>
      <c r="F183" s="1">
        <f t="shared" si="16"/>
        <v>11.5</v>
      </c>
      <c r="G183" s="1">
        <f t="shared" si="17"/>
        <v>6</v>
      </c>
      <c r="H183" s="18">
        <f t="shared" si="14"/>
        <v>5</v>
      </c>
      <c r="I183" s="1"/>
      <c r="J183" s="2"/>
    </row>
    <row r="184" spans="1:10" x14ac:dyDescent="0.3">
      <c r="A184" s="1">
        <v>183</v>
      </c>
      <c r="B184" s="2">
        <v>48</v>
      </c>
      <c r="C184" s="18">
        <f t="shared" si="15"/>
        <v>31</v>
      </c>
      <c r="D184" s="1">
        <f t="shared" si="12"/>
        <v>142</v>
      </c>
      <c r="E184" s="1">
        <f t="shared" si="13"/>
        <v>368</v>
      </c>
      <c r="F184" s="1">
        <f t="shared" si="16"/>
        <v>9</v>
      </c>
      <c r="G184" s="1">
        <f t="shared" si="17"/>
        <v>7.5</v>
      </c>
      <c r="H184" s="18">
        <f t="shared" si="14"/>
        <v>5</v>
      </c>
      <c r="I184" s="1"/>
      <c r="J184" s="2"/>
    </row>
    <row r="185" spans="1:10" x14ac:dyDescent="0.3">
      <c r="A185" s="1">
        <v>184</v>
      </c>
      <c r="B185" s="2">
        <v>46</v>
      </c>
      <c r="C185" s="18">
        <f t="shared" si="15"/>
        <v>27</v>
      </c>
      <c r="D185" s="1">
        <f t="shared" si="12"/>
        <v>142.5</v>
      </c>
      <c r="E185" s="1">
        <f t="shared" si="13"/>
        <v>367.5</v>
      </c>
      <c r="F185" s="1">
        <f t="shared" si="16"/>
        <v>4.5</v>
      </c>
      <c r="G185" s="1">
        <f t="shared" si="17"/>
        <v>11</v>
      </c>
      <c r="H185" s="18">
        <f t="shared" si="14"/>
        <v>5</v>
      </c>
      <c r="I185" s="1"/>
      <c r="J185" s="2"/>
    </row>
    <row r="186" spans="1:10" x14ac:dyDescent="0.3">
      <c r="A186" s="1">
        <v>185</v>
      </c>
      <c r="B186" s="2">
        <v>51</v>
      </c>
      <c r="C186" s="18">
        <f t="shared" si="15"/>
        <v>28</v>
      </c>
      <c r="D186" s="1">
        <f t="shared" si="12"/>
        <v>143</v>
      </c>
      <c r="E186" s="1">
        <f t="shared" si="13"/>
        <v>367</v>
      </c>
      <c r="F186" s="1">
        <f t="shared" si="16"/>
        <v>5</v>
      </c>
      <c r="G186" s="1">
        <f t="shared" si="17"/>
        <v>9.5</v>
      </c>
      <c r="H186" s="18">
        <f t="shared" si="14"/>
        <v>5</v>
      </c>
      <c r="I186" s="1"/>
      <c r="J186" s="2"/>
    </row>
    <row r="187" spans="1:10" x14ac:dyDescent="0.3">
      <c r="A187" s="1">
        <v>186</v>
      </c>
      <c r="B187" s="2">
        <v>48</v>
      </c>
      <c r="C187" s="18">
        <f t="shared" si="15"/>
        <v>26</v>
      </c>
      <c r="D187" s="1">
        <f t="shared" si="12"/>
        <v>143.5</v>
      </c>
      <c r="E187" s="1">
        <f t="shared" si="13"/>
        <v>366.5</v>
      </c>
      <c r="F187" s="1">
        <f t="shared" si="16"/>
        <v>2.5</v>
      </c>
      <c r="G187" s="1">
        <f t="shared" si="17"/>
        <v>11</v>
      </c>
      <c r="H187" s="18">
        <f t="shared" si="14"/>
        <v>5</v>
      </c>
      <c r="I187" s="1"/>
      <c r="J187" s="2"/>
    </row>
    <row r="188" spans="1:10" x14ac:dyDescent="0.3">
      <c r="A188" s="1">
        <v>187</v>
      </c>
      <c r="B188" s="2">
        <v>54</v>
      </c>
      <c r="C188" s="18">
        <f t="shared" si="15"/>
        <v>30</v>
      </c>
      <c r="D188" s="1">
        <f t="shared" si="12"/>
        <v>144</v>
      </c>
      <c r="E188" s="1">
        <f t="shared" si="13"/>
        <v>366</v>
      </c>
      <c r="F188" s="1">
        <f t="shared" si="16"/>
        <v>6</v>
      </c>
      <c r="G188" s="1">
        <f t="shared" si="17"/>
        <v>6.5</v>
      </c>
      <c r="H188" s="18">
        <f t="shared" si="14"/>
        <v>5</v>
      </c>
      <c r="I188" s="1"/>
      <c r="J188" s="2"/>
    </row>
    <row r="189" spans="1:10" x14ac:dyDescent="0.3">
      <c r="A189" s="1">
        <v>188</v>
      </c>
      <c r="B189" s="2">
        <v>56</v>
      </c>
      <c r="C189" s="18">
        <f t="shared" si="15"/>
        <v>36</v>
      </c>
      <c r="D189" s="1">
        <f t="shared" si="12"/>
        <v>144.5</v>
      </c>
      <c r="E189" s="1">
        <f t="shared" si="13"/>
        <v>365.5</v>
      </c>
      <c r="F189" s="1">
        <f t="shared" si="16"/>
        <v>11.5</v>
      </c>
      <c r="G189" s="1">
        <f t="shared" si="17"/>
        <v>0</v>
      </c>
      <c r="H189" s="18">
        <f t="shared" si="14"/>
        <v>5</v>
      </c>
      <c r="I189" s="1"/>
      <c r="J189" s="2"/>
    </row>
    <row r="190" spans="1:10" x14ac:dyDescent="0.3">
      <c r="A190" s="1">
        <v>189</v>
      </c>
      <c r="B190" s="2">
        <v>49</v>
      </c>
      <c r="C190" s="18">
        <f t="shared" si="15"/>
        <v>35</v>
      </c>
      <c r="D190" s="1">
        <f t="shared" si="12"/>
        <v>145</v>
      </c>
      <c r="E190" s="1">
        <f t="shared" si="13"/>
        <v>365</v>
      </c>
      <c r="F190" s="1">
        <f t="shared" si="16"/>
        <v>10</v>
      </c>
      <c r="G190" s="1">
        <f t="shared" si="17"/>
        <v>0.5</v>
      </c>
      <c r="H190" s="18">
        <f t="shared" si="14"/>
        <v>5</v>
      </c>
      <c r="I190" s="1"/>
      <c r="J190" s="2"/>
    </row>
    <row r="191" spans="1:10" x14ac:dyDescent="0.3">
      <c r="A191" s="1">
        <v>190</v>
      </c>
      <c r="B191" s="2">
        <v>52</v>
      </c>
      <c r="C191" s="18">
        <f t="shared" si="15"/>
        <v>37</v>
      </c>
      <c r="D191" s="1">
        <f t="shared" si="12"/>
        <v>145.5</v>
      </c>
      <c r="E191" s="1">
        <f t="shared" si="13"/>
        <v>364.5</v>
      </c>
      <c r="F191" s="1">
        <f t="shared" si="16"/>
        <v>11.5</v>
      </c>
      <c r="G191" s="1">
        <f t="shared" si="17"/>
        <v>0</v>
      </c>
      <c r="H191" s="18">
        <f t="shared" si="14"/>
        <v>5</v>
      </c>
      <c r="I191" s="1"/>
      <c r="J191" s="2"/>
    </row>
    <row r="192" spans="1:10" x14ac:dyDescent="0.3">
      <c r="A192" s="1">
        <v>191</v>
      </c>
      <c r="B192" s="2">
        <v>52</v>
      </c>
      <c r="C192" s="18">
        <f t="shared" si="15"/>
        <v>39</v>
      </c>
      <c r="D192" s="1">
        <f t="shared" si="12"/>
        <v>146</v>
      </c>
      <c r="E192" s="1">
        <f t="shared" si="13"/>
        <v>364</v>
      </c>
      <c r="F192" s="1">
        <f t="shared" si="16"/>
        <v>13</v>
      </c>
      <c r="G192" s="1">
        <f t="shared" si="17"/>
        <v>0</v>
      </c>
      <c r="H192" s="18">
        <f t="shared" si="14"/>
        <v>5</v>
      </c>
      <c r="I192" s="1"/>
      <c r="J192" s="2"/>
    </row>
    <row r="193" spans="1:10" x14ac:dyDescent="0.3">
      <c r="A193" s="1">
        <v>192</v>
      </c>
      <c r="B193" s="2">
        <v>46</v>
      </c>
      <c r="C193" s="18">
        <f t="shared" si="15"/>
        <v>35</v>
      </c>
      <c r="D193" s="1">
        <f t="shared" si="12"/>
        <v>146.5</v>
      </c>
      <c r="E193" s="1">
        <f t="shared" si="13"/>
        <v>363.5</v>
      </c>
      <c r="F193" s="1">
        <f t="shared" si="16"/>
        <v>8.5</v>
      </c>
      <c r="G193" s="1">
        <f t="shared" si="17"/>
        <v>3.5</v>
      </c>
      <c r="H193" s="18">
        <f t="shared" si="14"/>
        <v>5</v>
      </c>
      <c r="I193" s="1"/>
      <c r="J193" s="2"/>
    </row>
    <row r="194" spans="1:10" x14ac:dyDescent="0.3">
      <c r="A194" s="1">
        <v>193</v>
      </c>
      <c r="B194" s="2">
        <v>50</v>
      </c>
      <c r="C194" s="18">
        <f t="shared" si="15"/>
        <v>35</v>
      </c>
      <c r="D194" s="1">
        <f t="shared" ref="D194:D257" si="18">D195-$M$2</f>
        <v>147</v>
      </c>
      <c r="E194" s="1">
        <f t="shared" ref="E194:E257" si="19">E195+$M$2</f>
        <v>363</v>
      </c>
      <c r="F194" s="1">
        <f t="shared" si="16"/>
        <v>8</v>
      </c>
      <c r="G194" s="1">
        <f t="shared" si="17"/>
        <v>3</v>
      </c>
      <c r="H194" s="18">
        <f t="shared" si="14"/>
        <v>5</v>
      </c>
      <c r="I194" s="1"/>
      <c r="J194" s="2"/>
    </row>
    <row r="195" spans="1:10" x14ac:dyDescent="0.3">
      <c r="A195" s="1">
        <v>194</v>
      </c>
      <c r="B195" s="2">
        <v>56</v>
      </c>
      <c r="C195" s="18">
        <f t="shared" si="15"/>
        <v>41</v>
      </c>
      <c r="D195" s="1">
        <f t="shared" si="18"/>
        <v>147.5</v>
      </c>
      <c r="E195" s="1">
        <f t="shared" si="19"/>
        <v>362.5</v>
      </c>
      <c r="F195" s="1">
        <f t="shared" si="16"/>
        <v>13.5</v>
      </c>
      <c r="G195" s="1">
        <f t="shared" si="17"/>
        <v>0</v>
      </c>
      <c r="H195" s="18">
        <f t="shared" ref="H195:H258" si="20">$O$2</f>
        <v>5</v>
      </c>
      <c r="I195" s="1"/>
      <c r="J195" s="2"/>
    </row>
    <row r="196" spans="1:10" x14ac:dyDescent="0.3">
      <c r="A196" s="1">
        <v>195</v>
      </c>
      <c r="B196" s="2">
        <v>48</v>
      </c>
      <c r="C196" s="18">
        <f t="shared" ref="C196:C259" si="21">B196-L$2+C195</f>
        <v>39</v>
      </c>
      <c r="D196" s="1">
        <f t="shared" si="18"/>
        <v>148</v>
      </c>
      <c r="E196" s="1">
        <f t="shared" si="19"/>
        <v>362</v>
      </c>
      <c r="F196" s="1">
        <f t="shared" ref="F196:F259" si="22">MAX(0,B196-$L$2-$M$2+F195)</f>
        <v>11</v>
      </c>
      <c r="G196" s="1">
        <f t="shared" ref="G196:G259" si="23">MAX(0,$L$2-B196-$M$2+G195)</f>
        <v>1.5</v>
      </c>
      <c r="H196" s="18">
        <f t="shared" si="20"/>
        <v>5</v>
      </c>
      <c r="I196" s="1"/>
      <c r="J196" s="2"/>
    </row>
    <row r="197" spans="1:10" x14ac:dyDescent="0.3">
      <c r="A197" s="1">
        <v>196</v>
      </c>
      <c r="B197" s="2">
        <v>50</v>
      </c>
      <c r="C197" s="18">
        <f t="shared" si="21"/>
        <v>39</v>
      </c>
      <c r="D197" s="1">
        <f t="shared" si="18"/>
        <v>148.5</v>
      </c>
      <c r="E197" s="1">
        <f t="shared" si="19"/>
        <v>361.5</v>
      </c>
      <c r="F197" s="1">
        <f t="shared" si="22"/>
        <v>10.5</v>
      </c>
      <c r="G197" s="1">
        <f t="shared" si="23"/>
        <v>1</v>
      </c>
      <c r="H197" s="18">
        <f t="shared" si="20"/>
        <v>5</v>
      </c>
      <c r="I197" s="1"/>
      <c r="J197" s="2"/>
    </row>
    <row r="198" spans="1:10" x14ac:dyDescent="0.3">
      <c r="A198" s="1">
        <v>197</v>
      </c>
      <c r="B198" s="2">
        <v>48</v>
      </c>
      <c r="C198" s="18">
        <f t="shared" si="21"/>
        <v>37</v>
      </c>
      <c r="D198" s="1">
        <f t="shared" si="18"/>
        <v>149</v>
      </c>
      <c r="E198" s="1">
        <f t="shared" si="19"/>
        <v>361</v>
      </c>
      <c r="F198" s="1">
        <f t="shared" si="22"/>
        <v>8</v>
      </c>
      <c r="G198" s="1">
        <f t="shared" si="23"/>
        <v>2.5</v>
      </c>
      <c r="H198" s="18">
        <f t="shared" si="20"/>
        <v>5</v>
      </c>
      <c r="I198" s="1"/>
      <c r="J198" s="2"/>
    </row>
    <row r="199" spans="1:10" x14ac:dyDescent="0.3">
      <c r="A199" s="1">
        <v>198</v>
      </c>
      <c r="B199" s="2">
        <v>52</v>
      </c>
      <c r="C199" s="18">
        <f t="shared" si="21"/>
        <v>39</v>
      </c>
      <c r="D199" s="1">
        <f t="shared" si="18"/>
        <v>149.5</v>
      </c>
      <c r="E199" s="1">
        <f t="shared" si="19"/>
        <v>360.5</v>
      </c>
      <c r="F199" s="1">
        <f t="shared" si="22"/>
        <v>9.5</v>
      </c>
      <c r="G199" s="1">
        <f t="shared" si="23"/>
        <v>0</v>
      </c>
      <c r="H199" s="18">
        <f t="shared" si="20"/>
        <v>5</v>
      </c>
      <c r="I199" s="1"/>
      <c r="J199" s="2"/>
    </row>
    <row r="200" spans="1:10" x14ac:dyDescent="0.3">
      <c r="A200" s="1">
        <v>199</v>
      </c>
      <c r="B200" s="2">
        <v>48</v>
      </c>
      <c r="C200" s="18">
        <f t="shared" si="21"/>
        <v>37</v>
      </c>
      <c r="D200" s="1">
        <f t="shared" si="18"/>
        <v>150</v>
      </c>
      <c r="E200" s="1">
        <f t="shared" si="19"/>
        <v>360</v>
      </c>
      <c r="F200" s="1">
        <f t="shared" si="22"/>
        <v>7</v>
      </c>
      <c r="G200" s="1">
        <f t="shared" si="23"/>
        <v>1.5</v>
      </c>
      <c r="H200" s="18">
        <f t="shared" si="20"/>
        <v>5</v>
      </c>
      <c r="I200" s="1"/>
      <c r="J200" s="2"/>
    </row>
    <row r="201" spans="1:10" x14ac:dyDescent="0.3">
      <c r="A201" s="1">
        <v>200</v>
      </c>
      <c r="B201" s="2">
        <v>52</v>
      </c>
      <c r="C201" s="18">
        <f t="shared" si="21"/>
        <v>39</v>
      </c>
      <c r="D201" s="1">
        <f t="shared" si="18"/>
        <v>150.5</v>
      </c>
      <c r="E201" s="1">
        <f t="shared" si="19"/>
        <v>359.5</v>
      </c>
      <c r="F201" s="1">
        <f t="shared" si="22"/>
        <v>8.5</v>
      </c>
      <c r="G201" s="1">
        <f t="shared" si="23"/>
        <v>0</v>
      </c>
      <c r="H201" s="18">
        <f t="shared" si="20"/>
        <v>5</v>
      </c>
      <c r="I201" s="1"/>
      <c r="J201" s="2"/>
    </row>
    <row r="202" spans="1:10" x14ac:dyDescent="0.3">
      <c r="A202" s="1">
        <v>201</v>
      </c>
      <c r="B202" s="2">
        <v>47</v>
      </c>
      <c r="C202" s="18">
        <f t="shared" si="21"/>
        <v>36</v>
      </c>
      <c r="D202" s="1">
        <f t="shared" si="18"/>
        <v>151</v>
      </c>
      <c r="E202" s="1">
        <f t="shared" si="19"/>
        <v>359</v>
      </c>
      <c r="F202" s="1">
        <f t="shared" si="22"/>
        <v>5</v>
      </c>
      <c r="G202" s="1">
        <f t="shared" si="23"/>
        <v>2.5</v>
      </c>
      <c r="H202" s="18">
        <f t="shared" si="20"/>
        <v>5</v>
      </c>
      <c r="I202" s="1"/>
      <c r="J202" s="2"/>
    </row>
    <row r="203" spans="1:10" x14ac:dyDescent="0.3">
      <c r="A203" s="1">
        <v>202</v>
      </c>
      <c r="B203" s="2">
        <v>54</v>
      </c>
      <c r="C203" s="18">
        <f t="shared" si="21"/>
        <v>40</v>
      </c>
      <c r="D203" s="1">
        <f t="shared" si="18"/>
        <v>151.5</v>
      </c>
      <c r="E203" s="1">
        <f t="shared" si="19"/>
        <v>358.5</v>
      </c>
      <c r="F203" s="1">
        <f t="shared" si="22"/>
        <v>8.5</v>
      </c>
      <c r="G203" s="1">
        <f t="shared" si="23"/>
        <v>0</v>
      </c>
      <c r="H203" s="18">
        <f t="shared" si="20"/>
        <v>5</v>
      </c>
      <c r="I203" s="1"/>
      <c r="J203" s="2"/>
    </row>
    <row r="204" spans="1:10" x14ac:dyDescent="0.3">
      <c r="A204" s="1">
        <v>203</v>
      </c>
      <c r="B204" s="2">
        <v>53</v>
      </c>
      <c r="C204" s="18">
        <f t="shared" si="21"/>
        <v>43</v>
      </c>
      <c r="D204" s="1">
        <f t="shared" si="18"/>
        <v>152</v>
      </c>
      <c r="E204" s="1">
        <f t="shared" si="19"/>
        <v>358</v>
      </c>
      <c r="F204" s="1">
        <f t="shared" si="22"/>
        <v>11</v>
      </c>
      <c r="G204" s="1">
        <f t="shared" si="23"/>
        <v>0</v>
      </c>
      <c r="H204" s="18">
        <f t="shared" si="20"/>
        <v>5</v>
      </c>
      <c r="I204" s="1"/>
      <c r="J204" s="2"/>
    </row>
    <row r="205" spans="1:10" x14ac:dyDescent="0.3">
      <c r="A205" s="1">
        <v>204</v>
      </c>
      <c r="B205" s="2">
        <v>49</v>
      </c>
      <c r="C205" s="18">
        <f t="shared" si="21"/>
        <v>42</v>
      </c>
      <c r="D205" s="1">
        <f t="shared" si="18"/>
        <v>152.5</v>
      </c>
      <c r="E205" s="1">
        <f t="shared" si="19"/>
        <v>357.5</v>
      </c>
      <c r="F205" s="1">
        <f t="shared" si="22"/>
        <v>9.5</v>
      </c>
      <c r="G205" s="1">
        <f t="shared" si="23"/>
        <v>0.5</v>
      </c>
      <c r="H205" s="18">
        <f t="shared" si="20"/>
        <v>5</v>
      </c>
      <c r="I205" s="1"/>
      <c r="J205" s="2"/>
    </row>
    <row r="206" spans="1:10" x14ac:dyDescent="0.3">
      <c r="A206" s="1">
        <v>205</v>
      </c>
      <c r="B206" s="2">
        <v>47</v>
      </c>
      <c r="C206" s="18">
        <f t="shared" si="21"/>
        <v>39</v>
      </c>
      <c r="D206" s="1">
        <f t="shared" si="18"/>
        <v>153</v>
      </c>
      <c r="E206" s="1">
        <f t="shared" si="19"/>
        <v>357</v>
      </c>
      <c r="F206" s="1">
        <f t="shared" si="22"/>
        <v>6</v>
      </c>
      <c r="G206" s="1">
        <f t="shared" si="23"/>
        <v>3</v>
      </c>
      <c r="H206" s="18">
        <f t="shared" si="20"/>
        <v>5</v>
      </c>
      <c r="I206" s="1"/>
      <c r="J206" s="2"/>
    </row>
    <row r="207" spans="1:10" x14ac:dyDescent="0.3">
      <c r="A207" s="1">
        <v>206</v>
      </c>
      <c r="B207" s="2">
        <v>55</v>
      </c>
      <c r="C207" s="18">
        <f t="shared" si="21"/>
        <v>44</v>
      </c>
      <c r="D207" s="1">
        <f t="shared" si="18"/>
        <v>153.5</v>
      </c>
      <c r="E207" s="1">
        <f t="shared" si="19"/>
        <v>356.5</v>
      </c>
      <c r="F207" s="1">
        <f t="shared" si="22"/>
        <v>10.5</v>
      </c>
      <c r="G207" s="1">
        <f t="shared" si="23"/>
        <v>0</v>
      </c>
      <c r="H207" s="18">
        <f t="shared" si="20"/>
        <v>5</v>
      </c>
      <c r="I207" s="1"/>
      <c r="J207" s="2"/>
    </row>
    <row r="208" spans="1:10" x14ac:dyDescent="0.3">
      <c r="A208" s="1">
        <v>207</v>
      </c>
      <c r="B208" s="2">
        <v>54</v>
      </c>
      <c r="C208" s="18">
        <f t="shared" si="21"/>
        <v>48</v>
      </c>
      <c r="D208" s="1">
        <f t="shared" si="18"/>
        <v>154</v>
      </c>
      <c r="E208" s="1">
        <f t="shared" si="19"/>
        <v>356</v>
      </c>
      <c r="F208" s="1">
        <f t="shared" si="22"/>
        <v>14</v>
      </c>
      <c r="G208" s="1">
        <f t="shared" si="23"/>
        <v>0</v>
      </c>
      <c r="H208" s="18">
        <f t="shared" si="20"/>
        <v>5</v>
      </c>
      <c r="I208" s="1"/>
      <c r="J208" s="2"/>
    </row>
    <row r="209" spans="1:10" x14ac:dyDescent="0.3">
      <c r="A209" s="1">
        <v>208</v>
      </c>
      <c r="B209" s="2">
        <v>52</v>
      </c>
      <c r="C209" s="18">
        <f t="shared" si="21"/>
        <v>50</v>
      </c>
      <c r="D209" s="1">
        <f t="shared" si="18"/>
        <v>154.5</v>
      </c>
      <c r="E209" s="1">
        <f t="shared" si="19"/>
        <v>355.5</v>
      </c>
      <c r="F209" s="1">
        <f t="shared" si="22"/>
        <v>15.5</v>
      </c>
      <c r="G209" s="1">
        <f t="shared" si="23"/>
        <v>0</v>
      </c>
      <c r="H209" s="18">
        <f t="shared" si="20"/>
        <v>5</v>
      </c>
      <c r="I209" s="1"/>
      <c r="J209" s="2"/>
    </row>
    <row r="210" spans="1:10" x14ac:dyDescent="0.3">
      <c r="A210" s="1">
        <v>209</v>
      </c>
      <c r="B210" s="2">
        <v>48</v>
      </c>
      <c r="C210" s="18">
        <f t="shared" si="21"/>
        <v>48</v>
      </c>
      <c r="D210" s="1">
        <f t="shared" si="18"/>
        <v>155</v>
      </c>
      <c r="E210" s="1">
        <f t="shared" si="19"/>
        <v>355</v>
      </c>
      <c r="F210" s="1">
        <f t="shared" si="22"/>
        <v>13</v>
      </c>
      <c r="G210" s="1">
        <f t="shared" si="23"/>
        <v>1.5</v>
      </c>
      <c r="H210" s="18">
        <f t="shared" si="20"/>
        <v>5</v>
      </c>
      <c r="I210" s="1"/>
      <c r="J210" s="2"/>
    </row>
    <row r="211" spans="1:10" x14ac:dyDescent="0.3">
      <c r="A211" s="1">
        <v>210</v>
      </c>
      <c r="B211" s="2">
        <v>55</v>
      </c>
      <c r="C211" s="18">
        <f t="shared" si="21"/>
        <v>53</v>
      </c>
      <c r="D211" s="1">
        <f t="shared" si="18"/>
        <v>155.5</v>
      </c>
      <c r="E211" s="1">
        <f t="shared" si="19"/>
        <v>354.5</v>
      </c>
      <c r="F211" s="1">
        <f t="shared" si="22"/>
        <v>17.5</v>
      </c>
      <c r="G211" s="1">
        <f t="shared" si="23"/>
        <v>0</v>
      </c>
      <c r="H211" s="18">
        <f t="shared" si="20"/>
        <v>5</v>
      </c>
      <c r="I211" s="1"/>
      <c r="J211" s="2"/>
    </row>
    <row r="212" spans="1:10" x14ac:dyDescent="0.3">
      <c r="A212" s="1">
        <v>211</v>
      </c>
      <c r="B212" s="2">
        <v>53</v>
      </c>
      <c r="C212" s="18">
        <f t="shared" si="21"/>
        <v>56</v>
      </c>
      <c r="D212" s="1">
        <f t="shared" si="18"/>
        <v>156</v>
      </c>
      <c r="E212" s="1">
        <f t="shared" si="19"/>
        <v>354</v>
      </c>
      <c r="F212" s="1">
        <f t="shared" si="22"/>
        <v>20</v>
      </c>
      <c r="G212" s="1">
        <f t="shared" si="23"/>
        <v>0</v>
      </c>
      <c r="H212" s="18">
        <f t="shared" si="20"/>
        <v>5</v>
      </c>
      <c r="I212" s="1"/>
      <c r="J212" s="2"/>
    </row>
    <row r="213" spans="1:10" x14ac:dyDescent="0.3">
      <c r="A213" s="1">
        <v>212</v>
      </c>
      <c r="B213" s="2">
        <v>49</v>
      </c>
      <c r="C213" s="18">
        <f t="shared" si="21"/>
        <v>55</v>
      </c>
      <c r="D213" s="1">
        <f t="shared" si="18"/>
        <v>156.5</v>
      </c>
      <c r="E213" s="1">
        <f t="shared" si="19"/>
        <v>353.5</v>
      </c>
      <c r="F213" s="1">
        <f t="shared" si="22"/>
        <v>18.5</v>
      </c>
      <c r="G213" s="1">
        <f t="shared" si="23"/>
        <v>0.5</v>
      </c>
      <c r="H213" s="18">
        <f t="shared" si="20"/>
        <v>5</v>
      </c>
      <c r="I213" s="1"/>
      <c r="J213" s="2"/>
    </row>
    <row r="214" spans="1:10" x14ac:dyDescent="0.3">
      <c r="A214" s="1">
        <v>213</v>
      </c>
      <c r="B214" s="2">
        <v>47</v>
      </c>
      <c r="C214" s="18">
        <f t="shared" si="21"/>
        <v>52</v>
      </c>
      <c r="D214" s="1">
        <f t="shared" si="18"/>
        <v>157</v>
      </c>
      <c r="E214" s="1">
        <f t="shared" si="19"/>
        <v>353</v>
      </c>
      <c r="F214" s="1">
        <f t="shared" si="22"/>
        <v>15</v>
      </c>
      <c r="G214" s="1">
        <f t="shared" si="23"/>
        <v>3</v>
      </c>
      <c r="H214" s="18">
        <f t="shared" si="20"/>
        <v>5</v>
      </c>
      <c r="I214" s="1"/>
      <c r="J214" s="2"/>
    </row>
    <row r="215" spans="1:10" x14ac:dyDescent="0.3">
      <c r="A215" s="1">
        <v>214</v>
      </c>
      <c r="B215" s="2">
        <v>55</v>
      </c>
      <c r="C215" s="18">
        <f t="shared" si="21"/>
        <v>57</v>
      </c>
      <c r="D215" s="1">
        <f t="shared" si="18"/>
        <v>157.5</v>
      </c>
      <c r="E215" s="1">
        <f t="shared" si="19"/>
        <v>352.5</v>
      </c>
      <c r="F215" s="1">
        <f t="shared" si="22"/>
        <v>19.5</v>
      </c>
      <c r="G215" s="1">
        <f t="shared" si="23"/>
        <v>0</v>
      </c>
      <c r="H215" s="18">
        <f t="shared" si="20"/>
        <v>5</v>
      </c>
      <c r="I215" s="1"/>
      <c r="J215" s="2"/>
    </row>
    <row r="216" spans="1:10" x14ac:dyDescent="0.3">
      <c r="A216" s="1">
        <v>215</v>
      </c>
      <c r="B216" s="2">
        <v>46</v>
      </c>
      <c r="C216" s="18">
        <f t="shared" si="21"/>
        <v>53</v>
      </c>
      <c r="D216" s="1">
        <f t="shared" si="18"/>
        <v>158</v>
      </c>
      <c r="E216" s="1">
        <f t="shared" si="19"/>
        <v>352</v>
      </c>
      <c r="F216" s="1">
        <f t="shared" si="22"/>
        <v>15</v>
      </c>
      <c r="G216" s="1">
        <f t="shared" si="23"/>
        <v>3.5</v>
      </c>
      <c r="H216" s="18">
        <f t="shared" si="20"/>
        <v>5</v>
      </c>
      <c r="I216" s="1"/>
      <c r="J216" s="2"/>
    </row>
    <row r="217" spans="1:10" x14ac:dyDescent="0.3">
      <c r="A217" s="1">
        <v>216</v>
      </c>
      <c r="B217" s="2">
        <v>52</v>
      </c>
      <c r="C217" s="18">
        <f t="shared" si="21"/>
        <v>55</v>
      </c>
      <c r="D217" s="1">
        <f t="shared" si="18"/>
        <v>158.5</v>
      </c>
      <c r="E217" s="1">
        <f t="shared" si="19"/>
        <v>351.5</v>
      </c>
      <c r="F217" s="1">
        <f t="shared" si="22"/>
        <v>16.5</v>
      </c>
      <c r="G217" s="1">
        <f t="shared" si="23"/>
        <v>1</v>
      </c>
      <c r="H217" s="18">
        <f t="shared" si="20"/>
        <v>5</v>
      </c>
      <c r="I217" s="1"/>
      <c r="J217" s="2"/>
    </row>
    <row r="218" spans="1:10" x14ac:dyDescent="0.3">
      <c r="A218" s="1">
        <v>217</v>
      </c>
      <c r="B218" s="2">
        <v>46</v>
      </c>
      <c r="C218" s="18">
        <f t="shared" si="21"/>
        <v>51</v>
      </c>
      <c r="D218" s="1">
        <f t="shared" si="18"/>
        <v>159</v>
      </c>
      <c r="E218" s="1">
        <f t="shared" si="19"/>
        <v>351</v>
      </c>
      <c r="F218" s="1">
        <f t="shared" si="22"/>
        <v>12</v>
      </c>
      <c r="G218" s="1">
        <f t="shared" si="23"/>
        <v>4.5</v>
      </c>
      <c r="H218" s="18">
        <f t="shared" si="20"/>
        <v>5</v>
      </c>
      <c r="I218" s="1"/>
      <c r="J218" s="2"/>
    </row>
    <row r="219" spans="1:10" x14ac:dyDescent="0.3">
      <c r="A219" s="1">
        <v>218</v>
      </c>
      <c r="B219" s="2">
        <v>53</v>
      </c>
      <c r="C219" s="18">
        <f t="shared" si="21"/>
        <v>54</v>
      </c>
      <c r="D219" s="1">
        <f t="shared" si="18"/>
        <v>159.5</v>
      </c>
      <c r="E219" s="1">
        <f t="shared" si="19"/>
        <v>350.5</v>
      </c>
      <c r="F219" s="1">
        <f t="shared" si="22"/>
        <v>14.5</v>
      </c>
      <c r="G219" s="1">
        <f t="shared" si="23"/>
        <v>1</v>
      </c>
      <c r="H219" s="18">
        <f t="shared" si="20"/>
        <v>5</v>
      </c>
      <c r="I219" s="1"/>
      <c r="J219" s="2"/>
    </row>
    <row r="220" spans="1:10" x14ac:dyDescent="0.3">
      <c r="A220" s="1">
        <v>219</v>
      </c>
      <c r="B220" s="2">
        <v>53</v>
      </c>
      <c r="C220" s="18">
        <f t="shared" si="21"/>
        <v>57</v>
      </c>
      <c r="D220" s="1">
        <f t="shared" si="18"/>
        <v>160</v>
      </c>
      <c r="E220" s="1">
        <f t="shared" si="19"/>
        <v>350</v>
      </c>
      <c r="F220" s="1">
        <f t="shared" si="22"/>
        <v>17</v>
      </c>
      <c r="G220" s="1">
        <f t="shared" si="23"/>
        <v>0</v>
      </c>
      <c r="H220" s="18">
        <f t="shared" si="20"/>
        <v>5</v>
      </c>
      <c r="I220" s="1"/>
      <c r="J220" s="2"/>
    </row>
    <row r="221" spans="1:10" x14ac:dyDescent="0.3">
      <c r="A221" s="1">
        <v>220</v>
      </c>
      <c r="B221" s="2">
        <v>51</v>
      </c>
      <c r="C221" s="18">
        <f t="shared" si="21"/>
        <v>58</v>
      </c>
      <c r="D221" s="1">
        <f t="shared" si="18"/>
        <v>160.5</v>
      </c>
      <c r="E221" s="1">
        <f t="shared" si="19"/>
        <v>349.5</v>
      </c>
      <c r="F221" s="1">
        <f t="shared" si="22"/>
        <v>17.5</v>
      </c>
      <c r="G221" s="1">
        <f t="shared" si="23"/>
        <v>0</v>
      </c>
      <c r="H221" s="18">
        <f t="shared" si="20"/>
        <v>5</v>
      </c>
      <c r="I221" s="1"/>
      <c r="J221" s="2"/>
    </row>
    <row r="222" spans="1:10" x14ac:dyDescent="0.3">
      <c r="A222" s="1">
        <v>221</v>
      </c>
      <c r="B222" s="2">
        <v>52</v>
      </c>
      <c r="C222" s="18">
        <f t="shared" si="21"/>
        <v>60</v>
      </c>
      <c r="D222" s="1">
        <f t="shared" si="18"/>
        <v>161</v>
      </c>
      <c r="E222" s="1">
        <f t="shared" si="19"/>
        <v>349</v>
      </c>
      <c r="F222" s="1">
        <f t="shared" si="22"/>
        <v>19</v>
      </c>
      <c r="G222" s="1">
        <f t="shared" si="23"/>
        <v>0</v>
      </c>
      <c r="H222" s="18">
        <f t="shared" si="20"/>
        <v>5</v>
      </c>
      <c r="I222" s="1"/>
      <c r="J222" s="2"/>
    </row>
    <row r="223" spans="1:10" x14ac:dyDescent="0.3">
      <c r="A223" s="1">
        <v>222</v>
      </c>
      <c r="B223" s="2">
        <v>54</v>
      </c>
      <c r="C223" s="18">
        <f t="shared" si="21"/>
        <v>64</v>
      </c>
      <c r="D223" s="1">
        <f t="shared" si="18"/>
        <v>161.5</v>
      </c>
      <c r="E223" s="1">
        <f t="shared" si="19"/>
        <v>348.5</v>
      </c>
      <c r="F223" s="1">
        <f t="shared" si="22"/>
        <v>22.5</v>
      </c>
      <c r="G223" s="1">
        <f t="shared" si="23"/>
        <v>0</v>
      </c>
      <c r="H223" s="18">
        <f t="shared" si="20"/>
        <v>5</v>
      </c>
      <c r="I223" s="1"/>
      <c r="J223" s="2"/>
    </row>
    <row r="224" spans="1:10" x14ac:dyDescent="0.3">
      <c r="A224" s="1">
        <v>223</v>
      </c>
      <c r="B224" s="2">
        <v>48</v>
      </c>
      <c r="C224" s="18">
        <f t="shared" si="21"/>
        <v>62</v>
      </c>
      <c r="D224" s="1">
        <f t="shared" si="18"/>
        <v>162</v>
      </c>
      <c r="E224" s="1">
        <f t="shared" si="19"/>
        <v>348</v>
      </c>
      <c r="F224" s="1">
        <f t="shared" si="22"/>
        <v>20</v>
      </c>
      <c r="G224" s="1">
        <f t="shared" si="23"/>
        <v>1.5</v>
      </c>
      <c r="H224" s="18">
        <f t="shared" si="20"/>
        <v>5</v>
      </c>
      <c r="I224" s="1"/>
      <c r="J224" s="2"/>
    </row>
    <row r="225" spans="1:10" x14ac:dyDescent="0.3">
      <c r="A225" s="1">
        <v>224</v>
      </c>
      <c r="B225" s="2">
        <v>49</v>
      </c>
      <c r="C225" s="18">
        <f t="shared" si="21"/>
        <v>61</v>
      </c>
      <c r="D225" s="1">
        <f t="shared" si="18"/>
        <v>162.5</v>
      </c>
      <c r="E225" s="1">
        <f t="shared" si="19"/>
        <v>347.5</v>
      </c>
      <c r="F225" s="1">
        <f t="shared" si="22"/>
        <v>18.5</v>
      </c>
      <c r="G225" s="1">
        <f t="shared" si="23"/>
        <v>2</v>
      </c>
      <c r="H225" s="18">
        <f t="shared" si="20"/>
        <v>5</v>
      </c>
      <c r="I225" s="1"/>
      <c r="J225" s="2"/>
    </row>
    <row r="226" spans="1:10" x14ac:dyDescent="0.3">
      <c r="A226" s="1">
        <v>225</v>
      </c>
      <c r="B226" s="2">
        <v>56</v>
      </c>
      <c r="C226" s="18">
        <f t="shared" si="21"/>
        <v>67</v>
      </c>
      <c r="D226" s="1">
        <f t="shared" si="18"/>
        <v>163</v>
      </c>
      <c r="E226" s="1">
        <f t="shared" si="19"/>
        <v>347</v>
      </c>
      <c r="F226" s="1">
        <f t="shared" si="22"/>
        <v>24</v>
      </c>
      <c r="G226" s="1">
        <f t="shared" si="23"/>
        <v>0</v>
      </c>
      <c r="H226" s="18">
        <f t="shared" si="20"/>
        <v>5</v>
      </c>
      <c r="I226" s="1"/>
      <c r="J226" s="2"/>
    </row>
    <row r="227" spans="1:10" x14ac:dyDescent="0.3">
      <c r="A227" s="1">
        <v>226</v>
      </c>
      <c r="B227" s="2">
        <v>50</v>
      </c>
      <c r="C227" s="18">
        <f t="shared" si="21"/>
        <v>67</v>
      </c>
      <c r="D227" s="1">
        <f t="shared" si="18"/>
        <v>163.5</v>
      </c>
      <c r="E227" s="1">
        <f t="shared" si="19"/>
        <v>346.5</v>
      </c>
      <c r="F227" s="1">
        <f t="shared" si="22"/>
        <v>23.5</v>
      </c>
      <c r="G227" s="1">
        <f t="shared" si="23"/>
        <v>0</v>
      </c>
      <c r="H227" s="18">
        <f t="shared" si="20"/>
        <v>5</v>
      </c>
      <c r="I227" s="1"/>
      <c r="J227" s="2"/>
    </row>
    <row r="228" spans="1:10" x14ac:dyDescent="0.3">
      <c r="A228" s="1">
        <v>227</v>
      </c>
      <c r="B228" s="2">
        <v>46</v>
      </c>
      <c r="C228" s="18">
        <f t="shared" si="21"/>
        <v>63</v>
      </c>
      <c r="D228" s="1">
        <f t="shared" si="18"/>
        <v>164</v>
      </c>
      <c r="E228" s="1">
        <f t="shared" si="19"/>
        <v>346</v>
      </c>
      <c r="F228" s="1">
        <f t="shared" si="22"/>
        <v>19</v>
      </c>
      <c r="G228" s="1">
        <f t="shared" si="23"/>
        <v>3.5</v>
      </c>
      <c r="H228" s="18">
        <f t="shared" si="20"/>
        <v>5</v>
      </c>
      <c r="I228" s="1"/>
      <c r="J228" s="2"/>
    </row>
    <row r="229" spans="1:10" x14ac:dyDescent="0.3">
      <c r="A229" s="1">
        <v>228</v>
      </c>
      <c r="B229" s="2">
        <v>46</v>
      </c>
      <c r="C229" s="18">
        <f t="shared" si="21"/>
        <v>59</v>
      </c>
      <c r="D229" s="1">
        <f t="shared" si="18"/>
        <v>164.5</v>
      </c>
      <c r="E229" s="1">
        <f t="shared" si="19"/>
        <v>345.5</v>
      </c>
      <c r="F229" s="1">
        <f t="shared" si="22"/>
        <v>14.5</v>
      </c>
      <c r="G229" s="1">
        <f t="shared" si="23"/>
        <v>7</v>
      </c>
      <c r="H229" s="18">
        <f t="shared" si="20"/>
        <v>5</v>
      </c>
      <c r="I229" s="1"/>
      <c r="J229" s="2"/>
    </row>
    <row r="230" spans="1:10" x14ac:dyDescent="0.3">
      <c r="A230" s="1">
        <v>229</v>
      </c>
      <c r="B230" s="2">
        <v>47</v>
      </c>
      <c r="C230" s="18">
        <f t="shared" si="21"/>
        <v>56</v>
      </c>
      <c r="D230" s="1">
        <f t="shared" si="18"/>
        <v>165</v>
      </c>
      <c r="E230" s="1">
        <f t="shared" si="19"/>
        <v>345</v>
      </c>
      <c r="F230" s="1">
        <f t="shared" si="22"/>
        <v>11</v>
      </c>
      <c r="G230" s="1">
        <f t="shared" si="23"/>
        <v>9.5</v>
      </c>
      <c r="H230" s="18">
        <f t="shared" si="20"/>
        <v>5</v>
      </c>
      <c r="I230" s="1"/>
      <c r="J230" s="2"/>
    </row>
    <row r="231" spans="1:10" x14ac:dyDescent="0.3">
      <c r="A231" s="1">
        <v>230</v>
      </c>
      <c r="B231" s="2">
        <v>50</v>
      </c>
      <c r="C231" s="18">
        <f t="shared" si="21"/>
        <v>56</v>
      </c>
      <c r="D231" s="1">
        <f t="shared" si="18"/>
        <v>165.5</v>
      </c>
      <c r="E231" s="1">
        <f t="shared" si="19"/>
        <v>344.5</v>
      </c>
      <c r="F231" s="1">
        <f t="shared" si="22"/>
        <v>10.5</v>
      </c>
      <c r="G231" s="1">
        <f t="shared" si="23"/>
        <v>9</v>
      </c>
      <c r="H231" s="18">
        <f t="shared" si="20"/>
        <v>5</v>
      </c>
      <c r="I231" s="1"/>
      <c r="J231" s="2"/>
    </row>
    <row r="232" spans="1:10" x14ac:dyDescent="0.3">
      <c r="A232" s="1">
        <v>231</v>
      </c>
      <c r="B232" s="2">
        <v>52</v>
      </c>
      <c r="C232" s="18">
        <f t="shared" si="21"/>
        <v>58</v>
      </c>
      <c r="D232" s="1">
        <f t="shared" si="18"/>
        <v>166</v>
      </c>
      <c r="E232" s="1">
        <f t="shared" si="19"/>
        <v>344</v>
      </c>
      <c r="F232" s="1">
        <f t="shared" si="22"/>
        <v>12</v>
      </c>
      <c r="G232" s="1">
        <f t="shared" si="23"/>
        <v>6.5</v>
      </c>
      <c r="H232" s="18">
        <f t="shared" si="20"/>
        <v>5</v>
      </c>
      <c r="I232" s="1"/>
      <c r="J232" s="2"/>
    </row>
    <row r="233" spans="1:10" x14ac:dyDescent="0.3">
      <c r="A233" s="1">
        <v>232</v>
      </c>
      <c r="B233" s="2">
        <v>48</v>
      </c>
      <c r="C233" s="18">
        <f t="shared" si="21"/>
        <v>56</v>
      </c>
      <c r="D233" s="1">
        <f t="shared" si="18"/>
        <v>166.5</v>
      </c>
      <c r="E233" s="1">
        <f t="shared" si="19"/>
        <v>343.5</v>
      </c>
      <c r="F233" s="1">
        <f t="shared" si="22"/>
        <v>9.5</v>
      </c>
      <c r="G233" s="1">
        <f t="shared" si="23"/>
        <v>8</v>
      </c>
      <c r="H233" s="18">
        <f t="shared" si="20"/>
        <v>5</v>
      </c>
      <c r="I233" s="1"/>
      <c r="J233" s="2"/>
    </row>
    <row r="234" spans="1:10" x14ac:dyDescent="0.3">
      <c r="A234" s="1">
        <v>233</v>
      </c>
      <c r="B234" s="2">
        <v>52</v>
      </c>
      <c r="C234" s="18">
        <f t="shared" si="21"/>
        <v>58</v>
      </c>
      <c r="D234" s="1">
        <f t="shared" si="18"/>
        <v>167</v>
      </c>
      <c r="E234" s="1">
        <f t="shared" si="19"/>
        <v>343</v>
      </c>
      <c r="F234" s="1">
        <f t="shared" si="22"/>
        <v>11</v>
      </c>
      <c r="G234" s="1">
        <f t="shared" si="23"/>
        <v>5.5</v>
      </c>
      <c r="H234" s="18">
        <f t="shared" si="20"/>
        <v>5</v>
      </c>
      <c r="I234" s="1"/>
      <c r="J234" s="2"/>
    </row>
    <row r="235" spans="1:10" x14ac:dyDescent="0.3">
      <c r="A235" s="1">
        <v>234</v>
      </c>
      <c r="B235" s="2">
        <v>51</v>
      </c>
      <c r="C235" s="18">
        <f t="shared" si="21"/>
        <v>59</v>
      </c>
      <c r="D235" s="1">
        <f t="shared" si="18"/>
        <v>167.5</v>
      </c>
      <c r="E235" s="1">
        <f t="shared" si="19"/>
        <v>342.5</v>
      </c>
      <c r="F235" s="1">
        <f t="shared" si="22"/>
        <v>11.5</v>
      </c>
      <c r="G235" s="1">
        <f t="shared" si="23"/>
        <v>4</v>
      </c>
      <c r="H235" s="18">
        <f t="shared" si="20"/>
        <v>5</v>
      </c>
      <c r="I235" s="1"/>
      <c r="J235" s="2"/>
    </row>
    <row r="236" spans="1:10" x14ac:dyDescent="0.3">
      <c r="A236" s="1">
        <v>235</v>
      </c>
      <c r="B236" s="2">
        <v>53</v>
      </c>
      <c r="C236" s="18">
        <f t="shared" si="21"/>
        <v>62</v>
      </c>
      <c r="D236" s="1">
        <f t="shared" si="18"/>
        <v>168</v>
      </c>
      <c r="E236" s="1">
        <f t="shared" si="19"/>
        <v>342</v>
      </c>
      <c r="F236" s="1">
        <f t="shared" si="22"/>
        <v>14</v>
      </c>
      <c r="G236" s="1">
        <f t="shared" si="23"/>
        <v>0.5</v>
      </c>
      <c r="H236" s="18">
        <f t="shared" si="20"/>
        <v>5</v>
      </c>
      <c r="I236" s="1"/>
      <c r="J236" s="2"/>
    </row>
    <row r="237" spans="1:10" x14ac:dyDescent="0.3">
      <c r="A237" s="1">
        <v>236</v>
      </c>
      <c r="B237" s="2">
        <v>51</v>
      </c>
      <c r="C237" s="18">
        <f t="shared" si="21"/>
        <v>63</v>
      </c>
      <c r="D237" s="1">
        <f t="shared" si="18"/>
        <v>168.5</v>
      </c>
      <c r="E237" s="1">
        <f t="shared" si="19"/>
        <v>341.5</v>
      </c>
      <c r="F237" s="1">
        <f t="shared" si="22"/>
        <v>14.5</v>
      </c>
      <c r="G237" s="1">
        <f t="shared" si="23"/>
        <v>0</v>
      </c>
      <c r="H237" s="18">
        <f t="shared" si="20"/>
        <v>5</v>
      </c>
      <c r="I237" s="1"/>
      <c r="J237" s="2"/>
    </row>
    <row r="238" spans="1:10" x14ac:dyDescent="0.3">
      <c r="A238" s="1">
        <v>237</v>
      </c>
      <c r="B238" s="2">
        <v>52</v>
      </c>
      <c r="C238" s="18">
        <f t="shared" si="21"/>
        <v>65</v>
      </c>
      <c r="D238" s="1">
        <f t="shared" si="18"/>
        <v>169</v>
      </c>
      <c r="E238" s="1">
        <f t="shared" si="19"/>
        <v>341</v>
      </c>
      <c r="F238" s="1">
        <f t="shared" si="22"/>
        <v>16</v>
      </c>
      <c r="G238" s="1">
        <f t="shared" si="23"/>
        <v>0</v>
      </c>
      <c r="H238" s="18">
        <f t="shared" si="20"/>
        <v>5</v>
      </c>
      <c r="I238" s="1"/>
      <c r="J238" s="2"/>
    </row>
    <row r="239" spans="1:10" x14ac:dyDescent="0.3">
      <c r="A239" s="1">
        <v>238</v>
      </c>
      <c r="B239" s="2">
        <v>45</v>
      </c>
      <c r="C239" s="18">
        <f t="shared" si="21"/>
        <v>60</v>
      </c>
      <c r="D239" s="1">
        <f t="shared" si="18"/>
        <v>169.5</v>
      </c>
      <c r="E239" s="1">
        <f t="shared" si="19"/>
        <v>340.5</v>
      </c>
      <c r="F239" s="1">
        <f t="shared" si="22"/>
        <v>10.5</v>
      </c>
      <c r="G239" s="1">
        <f t="shared" si="23"/>
        <v>4.5</v>
      </c>
      <c r="H239" s="18">
        <f t="shared" si="20"/>
        <v>5</v>
      </c>
      <c r="I239" s="1"/>
      <c r="J239" s="2"/>
    </row>
    <row r="240" spans="1:10" x14ac:dyDescent="0.3">
      <c r="A240" s="1">
        <v>239</v>
      </c>
      <c r="B240" s="2">
        <v>49</v>
      </c>
      <c r="C240" s="18">
        <f t="shared" si="21"/>
        <v>59</v>
      </c>
      <c r="D240" s="1">
        <f t="shared" si="18"/>
        <v>170</v>
      </c>
      <c r="E240" s="1">
        <f t="shared" si="19"/>
        <v>340</v>
      </c>
      <c r="F240" s="1">
        <f t="shared" si="22"/>
        <v>9</v>
      </c>
      <c r="G240" s="1">
        <f t="shared" si="23"/>
        <v>5</v>
      </c>
      <c r="H240" s="18">
        <f t="shared" si="20"/>
        <v>5</v>
      </c>
      <c r="I240" s="1"/>
      <c r="J240" s="2"/>
    </row>
    <row r="241" spans="1:10" x14ac:dyDescent="0.3">
      <c r="A241" s="1">
        <v>240</v>
      </c>
      <c r="B241" s="2">
        <v>50</v>
      </c>
      <c r="C241" s="18">
        <f t="shared" si="21"/>
        <v>59</v>
      </c>
      <c r="D241" s="1">
        <f t="shared" si="18"/>
        <v>170.5</v>
      </c>
      <c r="E241" s="1">
        <f t="shared" si="19"/>
        <v>339.5</v>
      </c>
      <c r="F241" s="1">
        <f t="shared" si="22"/>
        <v>8.5</v>
      </c>
      <c r="G241" s="1">
        <f t="shared" si="23"/>
        <v>4.5</v>
      </c>
      <c r="H241" s="18">
        <f t="shared" si="20"/>
        <v>5</v>
      </c>
      <c r="I241" s="1"/>
      <c r="J241" s="2"/>
    </row>
    <row r="242" spans="1:10" x14ac:dyDescent="0.3">
      <c r="A242" s="1">
        <v>241</v>
      </c>
      <c r="B242" s="2">
        <v>55</v>
      </c>
      <c r="C242" s="18">
        <f t="shared" si="21"/>
        <v>64</v>
      </c>
      <c r="D242" s="1">
        <f t="shared" si="18"/>
        <v>171</v>
      </c>
      <c r="E242" s="1">
        <f t="shared" si="19"/>
        <v>339</v>
      </c>
      <c r="F242" s="1">
        <f t="shared" si="22"/>
        <v>13</v>
      </c>
      <c r="G242" s="1">
        <f t="shared" si="23"/>
        <v>0</v>
      </c>
      <c r="H242" s="18">
        <f t="shared" si="20"/>
        <v>5</v>
      </c>
      <c r="I242" s="1"/>
      <c r="J242" s="2"/>
    </row>
    <row r="243" spans="1:10" x14ac:dyDescent="0.3">
      <c r="A243" s="1">
        <v>242</v>
      </c>
      <c r="B243" s="2">
        <v>48</v>
      </c>
      <c r="C243" s="18">
        <f t="shared" si="21"/>
        <v>62</v>
      </c>
      <c r="D243" s="1">
        <f t="shared" si="18"/>
        <v>171.5</v>
      </c>
      <c r="E243" s="1">
        <f t="shared" si="19"/>
        <v>338.5</v>
      </c>
      <c r="F243" s="1">
        <f t="shared" si="22"/>
        <v>10.5</v>
      </c>
      <c r="G243" s="1">
        <f t="shared" si="23"/>
        <v>1.5</v>
      </c>
      <c r="H243" s="18">
        <f t="shared" si="20"/>
        <v>5</v>
      </c>
      <c r="I243" s="1"/>
      <c r="J243" s="2"/>
    </row>
    <row r="244" spans="1:10" x14ac:dyDescent="0.3">
      <c r="A244" s="1">
        <v>243</v>
      </c>
      <c r="B244" s="2">
        <v>49</v>
      </c>
      <c r="C244" s="18">
        <f t="shared" si="21"/>
        <v>61</v>
      </c>
      <c r="D244" s="1">
        <f t="shared" si="18"/>
        <v>172</v>
      </c>
      <c r="E244" s="1">
        <f t="shared" si="19"/>
        <v>338</v>
      </c>
      <c r="F244" s="1">
        <f t="shared" si="22"/>
        <v>9</v>
      </c>
      <c r="G244" s="1">
        <f t="shared" si="23"/>
        <v>2</v>
      </c>
      <c r="H244" s="18">
        <f t="shared" si="20"/>
        <v>5</v>
      </c>
      <c r="I244" s="1"/>
      <c r="J244" s="2"/>
    </row>
    <row r="245" spans="1:10" x14ac:dyDescent="0.3">
      <c r="A245" s="1">
        <v>244</v>
      </c>
      <c r="B245" s="2">
        <v>49</v>
      </c>
      <c r="C245" s="18">
        <f t="shared" si="21"/>
        <v>60</v>
      </c>
      <c r="D245" s="1">
        <f t="shared" si="18"/>
        <v>172.5</v>
      </c>
      <c r="E245" s="1">
        <f t="shared" si="19"/>
        <v>337.5</v>
      </c>
      <c r="F245" s="1">
        <f t="shared" si="22"/>
        <v>7.5</v>
      </c>
      <c r="G245" s="1">
        <f t="shared" si="23"/>
        <v>2.5</v>
      </c>
      <c r="H245" s="18">
        <f t="shared" si="20"/>
        <v>5</v>
      </c>
      <c r="I245" s="1"/>
      <c r="J245" s="2"/>
    </row>
    <row r="246" spans="1:10" x14ac:dyDescent="0.3">
      <c r="A246" s="1">
        <v>245</v>
      </c>
      <c r="B246" s="2">
        <v>52</v>
      </c>
      <c r="C246" s="18">
        <f t="shared" si="21"/>
        <v>62</v>
      </c>
      <c r="D246" s="1">
        <f t="shared" si="18"/>
        <v>173</v>
      </c>
      <c r="E246" s="1">
        <f t="shared" si="19"/>
        <v>337</v>
      </c>
      <c r="F246" s="1">
        <f t="shared" si="22"/>
        <v>9</v>
      </c>
      <c r="G246" s="1">
        <f t="shared" si="23"/>
        <v>0</v>
      </c>
      <c r="H246" s="18">
        <f t="shared" si="20"/>
        <v>5</v>
      </c>
      <c r="I246" s="1"/>
      <c r="J246" s="2"/>
    </row>
    <row r="247" spans="1:10" x14ac:dyDescent="0.3">
      <c r="A247" s="1">
        <v>246</v>
      </c>
      <c r="B247" s="2">
        <v>51</v>
      </c>
      <c r="C247" s="18">
        <f t="shared" si="21"/>
        <v>63</v>
      </c>
      <c r="D247" s="1">
        <f t="shared" si="18"/>
        <v>173.5</v>
      </c>
      <c r="E247" s="1">
        <f t="shared" si="19"/>
        <v>336.5</v>
      </c>
      <c r="F247" s="1">
        <f t="shared" si="22"/>
        <v>9.5</v>
      </c>
      <c r="G247" s="1">
        <f t="shared" si="23"/>
        <v>0</v>
      </c>
      <c r="H247" s="18">
        <f t="shared" si="20"/>
        <v>5</v>
      </c>
      <c r="I247" s="1"/>
      <c r="J247" s="2"/>
    </row>
    <row r="248" spans="1:10" x14ac:dyDescent="0.3">
      <c r="A248" s="1">
        <v>247</v>
      </c>
      <c r="B248" s="2">
        <v>56</v>
      </c>
      <c r="C248" s="18">
        <f t="shared" si="21"/>
        <v>69</v>
      </c>
      <c r="D248" s="1">
        <f t="shared" si="18"/>
        <v>174</v>
      </c>
      <c r="E248" s="1">
        <f t="shared" si="19"/>
        <v>336</v>
      </c>
      <c r="F248" s="1">
        <f t="shared" si="22"/>
        <v>15</v>
      </c>
      <c r="G248" s="1">
        <f t="shared" si="23"/>
        <v>0</v>
      </c>
      <c r="H248" s="18">
        <f t="shared" si="20"/>
        <v>5</v>
      </c>
      <c r="I248" s="1"/>
      <c r="J248" s="2"/>
    </row>
    <row r="249" spans="1:10" x14ac:dyDescent="0.3">
      <c r="A249" s="1">
        <v>248</v>
      </c>
      <c r="B249" s="2">
        <v>52</v>
      </c>
      <c r="C249" s="18">
        <f t="shared" si="21"/>
        <v>71</v>
      </c>
      <c r="D249" s="1">
        <f t="shared" si="18"/>
        <v>174.5</v>
      </c>
      <c r="E249" s="1">
        <f t="shared" si="19"/>
        <v>335.5</v>
      </c>
      <c r="F249" s="1">
        <f t="shared" si="22"/>
        <v>16.5</v>
      </c>
      <c r="G249" s="1">
        <f t="shared" si="23"/>
        <v>0</v>
      </c>
      <c r="H249" s="18">
        <f t="shared" si="20"/>
        <v>5</v>
      </c>
      <c r="I249" s="1"/>
      <c r="J249" s="2"/>
    </row>
    <row r="250" spans="1:10" x14ac:dyDescent="0.3">
      <c r="A250" s="1">
        <v>249</v>
      </c>
      <c r="B250" s="2">
        <v>48</v>
      </c>
      <c r="C250" s="18">
        <f t="shared" si="21"/>
        <v>69</v>
      </c>
      <c r="D250" s="1">
        <f t="shared" si="18"/>
        <v>175</v>
      </c>
      <c r="E250" s="1">
        <f t="shared" si="19"/>
        <v>335</v>
      </c>
      <c r="F250" s="1">
        <f t="shared" si="22"/>
        <v>14</v>
      </c>
      <c r="G250" s="1">
        <f t="shared" si="23"/>
        <v>1.5</v>
      </c>
      <c r="H250" s="18">
        <f t="shared" si="20"/>
        <v>5</v>
      </c>
      <c r="I250" s="1"/>
      <c r="J250" s="2"/>
    </row>
    <row r="251" spans="1:10" x14ac:dyDescent="0.3">
      <c r="A251" s="1">
        <v>250</v>
      </c>
      <c r="B251" s="2">
        <v>55</v>
      </c>
      <c r="C251" s="18">
        <f t="shared" si="21"/>
        <v>74</v>
      </c>
      <c r="D251" s="1">
        <f t="shared" si="18"/>
        <v>175.5</v>
      </c>
      <c r="E251" s="1">
        <f t="shared" si="19"/>
        <v>334.5</v>
      </c>
      <c r="F251" s="1">
        <f t="shared" si="22"/>
        <v>18.5</v>
      </c>
      <c r="G251" s="1">
        <f t="shared" si="23"/>
        <v>0</v>
      </c>
      <c r="H251" s="18">
        <f t="shared" si="20"/>
        <v>5</v>
      </c>
      <c r="I251" s="1"/>
      <c r="J251" s="2"/>
    </row>
    <row r="252" spans="1:10" x14ac:dyDescent="0.3">
      <c r="A252" s="1">
        <v>251</v>
      </c>
      <c r="B252" s="2">
        <v>56</v>
      </c>
      <c r="C252" s="18">
        <f t="shared" si="21"/>
        <v>80</v>
      </c>
      <c r="D252" s="1">
        <f t="shared" si="18"/>
        <v>176</v>
      </c>
      <c r="E252" s="1">
        <f t="shared" si="19"/>
        <v>334</v>
      </c>
      <c r="F252" s="1">
        <f t="shared" si="22"/>
        <v>24</v>
      </c>
      <c r="G252" s="1">
        <f t="shared" si="23"/>
        <v>0</v>
      </c>
      <c r="H252" s="18">
        <f t="shared" si="20"/>
        <v>5</v>
      </c>
      <c r="I252" s="1"/>
      <c r="J252" s="2"/>
    </row>
    <row r="253" spans="1:10" x14ac:dyDescent="0.3">
      <c r="A253" s="1">
        <v>252</v>
      </c>
      <c r="B253" s="2">
        <v>47</v>
      </c>
      <c r="C253" s="18">
        <f t="shared" si="21"/>
        <v>77</v>
      </c>
      <c r="D253" s="1">
        <f t="shared" si="18"/>
        <v>176.5</v>
      </c>
      <c r="E253" s="1">
        <f t="shared" si="19"/>
        <v>333.5</v>
      </c>
      <c r="F253" s="1">
        <f t="shared" si="22"/>
        <v>20.5</v>
      </c>
      <c r="G253" s="1">
        <f t="shared" si="23"/>
        <v>2.5</v>
      </c>
      <c r="H253" s="18">
        <f t="shared" si="20"/>
        <v>5</v>
      </c>
      <c r="I253" s="1"/>
      <c r="J253" s="2"/>
    </row>
    <row r="254" spans="1:10" x14ac:dyDescent="0.3">
      <c r="A254" s="1">
        <v>253</v>
      </c>
      <c r="B254" s="2">
        <v>52</v>
      </c>
      <c r="C254" s="18">
        <f t="shared" si="21"/>
        <v>79</v>
      </c>
      <c r="D254" s="1">
        <f t="shared" si="18"/>
        <v>177</v>
      </c>
      <c r="E254" s="1">
        <f t="shared" si="19"/>
        <v>333</v>
      </c>
      <c r="F254" s="1">
        <f t="shared" si="22"/>
        <v>22</v>
      </c>
      <c r="G254" s="1">
        <f t="shared" si="23"/>
        <v>0</v>
      </c>
      <c r="H254" s="18">
        <f t="shared" si="20"/>
        <v>5</v>
      </c>
      <c r="I254" s="1"/>
      <c r="J254" s="2"/>
    </row>
    <row r="255" spans="1:10" x14ac:dyDescent="0.3">
      <c r="A255" s="1">
        <v>254</v>
      </c>
      <c r="B255" s="2">
        <v>57</v>
      </c>
      <c r="C255" s="18">
        <f t="shared" si="21"/>
        <v>86</v>
      </c>
      <c r="D255" s="1">
        <f t="shared" si="18"/>
        <v>177.5</v>
      </c>
      <c r="E255" s="1">
        <f t="shared" si="19"/>
        <v>332.5</v>
      </c>
      <c r="F255" s="1">
        <f t="shared" si="22"/>
        <v>28.5</v>
      </c>
      <c r="G255" s="1">
        <f t="shared" si="23"/>
        <v>0</v>
      </c>
      <c r="H255" s="18">
        <f t="shared" si="20"/>
        <v>5</v>
      </c>
      <c r="I255" s="1"/>
      <c r="J255" s="2"/>
    </row>
    <row r="256" spans="1:10" x14ac:dyDescent="0.3">
      <c r="A256" s="1">
        <v>255</v>
      </c>
      <c r="B256" s="2">
        <v>55</v>
      </c>
      <c r="C256" s="18">
        <f t="shared" si="21"/>
        <v>91</v>
      </c>
      <c r="D256" s="1">
        <f t="shared" si="18"/>
        <v>178</v>
      </c>
      <c r="E256" s="1">
        <f t="shared" si="19"/>
        <v>332</v>
      </c>
      <c r="F256" s="1">
        <f t="shared" si="22"/>
        <v>33</v>
      </c>
      <c r="G256" s="1">
        <f t="shared" si="23"/>
        <v>0</v>
      </c>
      <c r="H256" s="18">
        <f t="shared" si="20"/>
        <v>5</v>
      </c>
      <c r="I256" s="1"/>
      <c r="J256" s="2"/>
    </row>
    <row r="257" spans="1:10" x14ac:dyDescent="0.3">
      <c r="A257" s="1">
        <v>256</v>
      </c>
      <c r="B257" s="2">
        <v>47</v>
      </c>
      <c r="C257" s="18">
        <f t="shared" si="21"/>
        <v>88</v>
      </c>
      <c r="D257" s="1">
        <f t="shared" si="18"/>
        <v>178.5</v>
      </c>
      <c r="E257" s="1">
        <f t="shared" si="19"/>
        <v>331.5</v>
      </c>
      <c r="F257" s="1">
        <f t="shared" si="22"/>
        <v>29.5</v>
      </c>
      <c r="G257" s="1">
        <f t="shared" si="23"/>
        <v>2.5</v>
      </c>
      <c r="H257" s="18">
        <f t="shared" si="20"/>
        <v>5</v>
      </c>
      <c r="I257" s="1"/>
      <c r="J257" s="2"/>
    </row>
    <row r="258" spans="1:10" x14ac:dyDescent="0.3">
      <c r="A258" s="1">
        <v>257</v>
      </c>
      <c r="B258" s="2">
        <v>57</v>
      </c>
      <c r="C258" s="18">
        <f t="shared" si="21"/>
        <v>95</v>
      </c>
      <c r="D258" s="1">
        <f t="shared" ref="D258:D321" si="24">D259-$M$2</f>
        <v>179</v>
      </c>
      <c r="E258" s="1">
        <f t="shared" ref="E258:E321" si="25">E259+$M$2</f>
        <v>331</v>
      </c>
      <c r="F258" s="1">
        <f t="shared" si="22"/>
        <v>36</v>
      </c>
      <c r="G258" s="1">
        <f t="shared" si="23"/>
        <v>0</v>
      </c>
      <c r="H258" s="18">
        <f t="shared" si="20"/>
        <v>5</v>
      </c>
      <c r="I258" s="1"/>
      <c r="J258" s="2"/>
    </row>
    <row r="259" spans="1:10" x14ac:dyDescent="0.3">
      <c r="A259" s="1">
        <v>258</v>
      </c>
      <c r="B259" s="2">
        <v>56</v>
      </c>
      <c r="C259" s="18">
        <f t="shared" si="21"/>
        <v>101</v>
      </c>
      <c r="D259" s="1">
        <f t="shared" si="24"/>
        <v>179.5</v>
      </c>
      <c r="E259" s="1">
        <f t="shared" si="25"/>
        <v>330.5</v>
      </c>
      <c r="F259" s="1">
        <f t="shared" si="22"/>
        <v>41.5</v>
      </c>
      <c r="G259" s="1">
        <f t="shared" si="23"/>
        <v>0</v>
      </c>
      <c r="H259" s="18">
        <f t="shared" ref="H259:H322" si="26">$O$2</f>
        <v>5</v>
      </c>
      <c r="I259" s="1"/>
      <c r="J259" s="2"/>
    </row>
    <row r="260" spans="1:10" x14ac:dyDescent="0.3">
      <c r="A260" s="1">
        <v>259</v>
      </c>
      <c r="B260" s="2">
        <v>47</v>
      </c>
      <c r="C260" s="18">
        <f t="shared" ref="C260:C323" si="27">B260-L$2+C259</f>
        <v>98</v>
      </c>
      <c r="D260" s="1">
        <f t="shared" si="24"/>
        <v>180</v>
      </c>
      <c r="E260" s="1">
        <f t="shared" si="25"/>
        <v>330</v>
      </c>
      <c r="F260" s="1">
        <f t="shared" ref="F260:F323" si="28">MAX(0,B260-$L$2-$M$2+F259)</f>
        <v>38</v>
      </c>
      <c r="G260" s="1">
        <f t="shared" ref="G260:G323" si="29">MAX(0,$L$2-B260-$M$2+G259)</f>
        <v>2.5</v>
      </c>
      <c r="H260" s="18">
        <f t="shared" si="26"/>
        <v>5</v>
      </c>
      <c r="I260" s="1"/>
      <c r="J260" s="2"/>
    </row>
    <row r="261" spans="1:10" x14ac:dyDescent="0.3">
      <c r="A261" s="1">
        <v>260</v>
      </c>
      <c r="B261" s="2">
        <v>56</v>
      </c>
      <c r="C261" s="18">
        <f t="shared" si="27"/>
        <v>104</v>
      </c>
      <c r="D261" s="1">
        <f t="shared" si="24"/>
        <v>180.5</v>
      </c>
      <c r="E261" s="1">
        <f t="shared" si="25"/>
        <v>329.5</v>
      </c>
      <c r="F261" s="1">
        <f t="shared" si="28"/>
        <v>43.5</v>
      </c>
      <c r="G261" s="1">
        <f t="shared" si="29"/>
        <v>0</v>
      </c>
      <c r="H261" s="18">
        <f t="shared" si="26"/>
        <v>5</v>
      </c>
      <c r="I261" s="1"/>
      <c r="J261" s="2"/>
    </row>
    <row r="262" spans="1:10" x14ac:dyDescent="0.3">
      <c r="A262" s="1">
        <v>261</v>
      </c>
      <c r="B262" s="2">
        <v>54</v>
      </c>
      <c r="C262" s="18">
        <f t="shared" si="27"/>
        <v>108</v>
      </c>
      <c r="D262" s="1">
        <f t="shared" si="24"/>
        <v>181</v>
      </c>
      <c r="E262" s="1">
        <f t="shared" si="25"/>
        <v>329</v>
      </c>
      <c r="F262" s="1">
        <f t="shared" si="28"/>
        <v>47</v>
      </c>
      <c r="G262" s="1">
        <f t="shared" si="29"/>
        <v>0</v>
      </c>
      <c r="H262" s="18">
        <f t="shared" si="26"/>
        <v>5</v>
      </c>
      <c r="I262" s="1"/>
      <c r="J262" s="2"/>
    </row>
    <row r="263" spans="1:10" x14ac:dyDescent="0.3">
      <c r="A263" s="1">
        <v>262</v>
      </c>
      <c r="B263" s="2">
        <v>45</v>
      </c>
      <c r="C263" s="18">
        <f t="shared" si="27"/>
        <v>103</v>
      </c>
      <c r="D263" s="1">
        <f t="shared" si="24"/>
        <v>181.5</v>
      </c>
      <c r="E263" s="1">
        <f t="shared" si="25"/>
        <v>328.5</v>
      </c>
      <c r="F263" s="1">
        <f t="shared" si="28"/>
        <v>41.5</v>
      </c>
      <c r="G263" s="1">
        <f t="shared" si="29"/>
        <v>4.5</v>
      </c>
      <c r="H263" s="18">
        <f t="shared" si="26"/>
        <v>5</v>
      </c>
      <c r="I263" s="1"/>
      <c r="J263" s="2"/>
    </row>
    <row r="264" spans="1:10" x14ac:dyDescent="0.3">
      <c r="A264" s="1">
        <v>263</v>
      </c>
      <c r="B264" s="2">
        <v>54</v>
      </c>
      <c r="C264" s="18">
        <f t="shared" si="27"/>
        <v>107</v>
      </c>
      <c r="D264" s="1">
        <f t="shared" si="24"/>
        <v>182</v>
      </c>
      <c r="E264" s="1">
        <f t="shared" si="25"/>
        <v>328</v>
      </c>
      <c r="F264" s="1">
        <f t="shared" si="28"/>
        <v>45</v>
      </c>
      <c r="G264" s="1">
        <f t="shared" si="29"/>
        <v>0</v>
      </c>
      <c r="H264" s="18">
        <f t="shared" si="26"/>
        <v>5</v>
      </c>
      <c r="I264" s="1"/>
      <c r="J264" s="2"/>
    </row>
    <row r="265" spans="1:10" x14ac:dyDescent="0.3">
      <c r="A265" s="1">
        <v>264</v>
      </c>
      <c r="B265" s="2">
        <v>56</v>
      </c>
      <c r="C265" s="18">
        <f t="shared" si="27"/>
        <v>113</v>
      </c>
      <c r="D265" s="1">
        <f t="shared" si="24"/>
        <v>182.5</v>
      </c>
      <c r="E265" s="1">
        <f t="shared" si="25"/>
        <v>327.5</v>
      </c>
      <c r="F265" s="1">
        <f t="shared" si="28"/>
        <v>50.5</v>
      </c>
      <c r="G265" s="1">
        <f t="shared" si="29"/>
        <v>0</v>
      </c>
      <c r="H265" s="18">
        <f t="shared" si="26"/>
        <v>5</v>
      </c>
      <c r="I265" s="1"/>
      <c r="J265" s="2"/>
    </row>
    <row r="266" spans="1:10" x14ac:dyDescent="0.3">
      <c r="A266" s="1">
        <v>265</v>
      </c>
      <c r="B266" s="2">
        <v>51</v>
      </c>
      <c r="C266" s="18">
        <f t="shared" si="27"/>
        <v>114</v>
      </c>
      <c r="D266" s="1">
        <f t="shared" si="24"/>
        <v>183</v>
      </c>
      <c r="E266" s="1">
        <f t="shared" si="25"/>
        <v>327</v>
      </c>
      <c r="F266" s="1">
        <f t="shared" si="28"/>
        <v>51</v>
      </c>
      <c r="G266" s="1">
        <f t="shared" si="29"/>
        <v>0</v>
      </c>
      <c r="H266" s="18">
        <f t="shared" si="26"/>
        <v>5</v>
      </c>
      <c r="I266" s="1"/>
      <c r="J266" s="2"/>
    </row>
    <row r="267" spans="1:10" x14ac:dyDescent="0.3">
      <c r="A267" s="1">
        <v>266</v>
      </c>
      <c r="B267" s="2">
        <v>55</v>
      </c>
      <c r="C267" s="18">
        <f t="shared" si="27"/>
        <v>119</v>
      </c>
      <c r="D267" s="1">
        <f t="shared" si="24"/>
        <v>183.5</v>
      </c>
      <c r="E267" s="1">
        <f t="shared" si="25"/>
        <v>326.5</v>
      </c>
      <c r="F267" s="1">
        <f t="shared" si="28"/>
        <v>55.5</v>
      </c>
      <c r="G267" s="1">
        <f t="shared" si="29"/>
        <v>0</v>
      </c>
      <c r="H267" s="18">
        <f t="shared" si="26"/>
        <v>5</v>
      </c>
      <c r="I267" s="1"/>
      <c r="J267" s="2"/>
    </row>
    <row r="268" spans="1:10" x14ac:dyDescent="0.3">
      <c r="A268" s="1">
        <v>267</v>
      </c>
      <c r="B268" s="2">
        <v>50</v>
      </c>
      <c r="C268" s="18">
        <f t="shared" si="27"/>
        <v>119</v>
      </c>
      <c r="D268" s="1">
        <f t="shared" si="24"/>
        <v>184</v>
      </c>
      <c r="E268" s="1">
        <f t="shared" si="25"/>
        <v>326</v>
      </c>
      <c r="F268" s="1">
        <f t="shared" si="28"/>
        <v>55</v>
      </c>
      <c r="G268" s="1">
        <f t="shared" si="29"/>
        <v>0</v>
      </c>
      <c r="H268" s="18">
        <f t="shared" si="26"/>
        <v>5</v>
      </c>
      <c r="I268" s="1"/>
      <c r="J268" s="2"/>
    </row>
    <row r="269" spans="1:10" x14ac:dyDescent="0.3">
      <c r="A269" s="1">
        <v>268</v>
      </c>
      <c r="B269" s="2">
        <v>48</v>
      </c>
      <c r="C269" s="18">
        <f t="shared" si="27"/>
        <v>117</v>
      </c>
      <c r="D269" s="1">
        <f t="shared" si="24"/>
        <v>184.5</v>
      </c>
      <c r="E269" s="1">
        <f t="shared" si="25"/>
        <v>325.5</v>
      </c>
      <c r="F269" s="1">
        <f t="shared" si="28"/>
        <v>52.5</v>
      </c>
      <c r="G269" s="1">
        <f t="shared" si="29"/>
        <v>1.5</v>
      </c>
      <c r="H269" s="18">
        <f t="shared" si="26"/>
        <v>5</v>
      </c>
      <c r="I269" s="1"/>
      <c r="J269" s="2"/>
    </row>
    <row r="270" spans="1:10" x14ac:dyDescent="0.3">
      <c r="A270" s="1">
        <v>269</v>
      </c>
      <c r="B270" s="2">
        <v>49</v>
      </c>
      <c r="C270" s="18">
        <f t="shared" si="27"/>
        <v>116</v>
      </c>
      <c r="D270" s="1">
        <f t="shared" si="24"/>
        <v>185</v>
      </c>
      <c r="E270" s="1">
        <f t="shared" si="25"/>
        <v>325</v>
      </c>
      <c r="F270" s="1">
        <f t="shared" si="28"/>
        <v>51</v>
      </c>
      <c r="G270" s="1">
        <f t="shared" si="29"/>
        <v>2</v>
      </c>
      <c r="H270" s="18">
        <f t="shared" si="26"/>
        <v>5</v>
      </c>
      <c r="I270" s="1"/>
      <c r="J270" s="2"/>
    </row>
    <row r="271" spans="1:10" x14ac:dyDescent="0.3">
      <c r="A271" s="1">
        <v>270</v>
      </c>
      <c r="B271" s="2">
        <v>47</v>
      </c>
      <c r="C271" s="18">
        <f t="shared" si="27"/>
        <v>113</v>
      </c>
      <c r="D271" s="1">
        <f t="shared" si="24"/>
        <v>185.5</v>
      </c>
      <c r="E271" s="1">
        <f t="shared" si="25"/>
        <v>324.5</v>
      </c>
      <c r="F271" s="1">
        <f t="shared" si="28"/>
        <v>47.5</v>
      </c>
      <c r="G271" s="1">
        <f t="shared" si="29"/>
        <v>4.5</v>
      </c>
      <c r="H271" s="18">
        <f t="shared" si="26"/>
        <v>5</v>
      </c>
      <c r="I271" s="1"/>
      <c r="J271" s="2"/>
    </row>
    <row r="272" spans="1:10" x14ac:dyDescent="0.3">
      <c r="A272" s="1">
        <v>271</v>
      </c>
      <c r="B272" s="2">
        <v>49</v>
      </c>
      <c r="C272" s="18">
        <f t="shared" si="27"/>
        <v>112</v>
      </c>
      <c r="D272" s="1">
        <f t="shared" si="24"/>
        <v>186</v>
      </c>
      <c r="E272" s="1">
        <f t="shared" si="25"/>
        <v>324</v>
      </c>
      <c r="F272" s="1">
        <f t="shared" si="28"/>
        <v>46</v>
      </c>
      <c r="G272" s="1">
        <f t="shared" si="29"/>
        <v>5</v>
      </c>
      <c r="H272" s="18">
        <f t="shared" si="26"/>
        <v>5</v>
      </c>
      <c r="I272" s="1"/>
      <c r="J272" s="2"/>
    </row>
    <row r="273" spans="1:10" x14ac:dyDescent="0.3">
      <c r="A273" s="1">
        <v>272</v>
      </c>
      <c r="B273" s="2">
        <v>46</v>
      </c>
      <c r="C273" s="18">
        <f t="shared" si="27"/>
        <v>108</v>
      </c>
      <c r="D273" s="1">
        <f t="shared" si="24"/>
        <v>186.5</v>
      </c>
      <c r="E273" s="1">
        <f t="shared" si="25"/>
        <v>323.5</v>
      </c>
      <c r="F273" s="1">
        <f t="shared" si="28"/>
        <v>41.5</v>
      </c>
      <c r="G273" s="1">
        <f t="shared" si="29"/>
        <v>8.5</v>
      </c>
      <c r="H273" s="18">
        <f t="shared" si="26"/>
        <v>5</v>
      </c>
      <c r="I273" s="1"/>
      <c r="J273" s="2"/>
    </row>
    <row r="274" spans="1:10" x14ac:dyDescent="0.3">
      <c r="A274" s="1">
        <v>273</v>
      </c>
      <c r="B274" s="2">
        <v>48</v>
      </c>
      <c r="C274" s="18">
        <f t="shared" si="27"/>
        <v>106</v>
      </c>
      <c r="D274" s="1">
        <f t="shared" si="24"/>
        <v>187</v>
      </c>
      <c r="E274" s="1">
        <f t="shared" si="25"/>
        <v>323</v>
      </c>
      <c r="F274" s="1">
        <f t="shared" si="28"/>
        <v>39</v>
      </c>
      <c r="G274" s="1">
        <f t="shared" si="29"/>
        <v>10</v>
      </c>
      <c r="H274" s="18">
        <f t="shared" si="26"/>
        <v>5</v>
      </c>
      <c r="I274" s="1"/>
      <c r="J274" s="2"/>
    </row>
    <row r="275" spans="1:10" x14ac:dyDescent="0.3">
      <c r="A275" s="1">
        <v>274</v>
      </c>
      <c r="B275" s="2">
        <v>53</v>
      </c>
      <c r="C275" s="18">
        <f t="shared" si="27"/>
        <v>109</v>
      </c>
      <c r="D275" s="1">
        <f t="shared" si="24"/>
        <v>187.5</v>
      </c>
      <c r="E275" s="1">
        <f t="shared" si="25"/>
        <v>322.5</v>
      </c>
      <c r="F275" s="1">
        <f t="shared" si="28"/>
        <v>41.5</v>
      </c>
      <c r="G275" s="1">
        <f t="shared" si="29"/>
        <v>6.5</v>
      </c>
      <c r="H275" s="18">
        <f t="shared" si="26"/>
        <v>5</v>
      </c>
      <c r="I275" s="1"/>
      <c r="J275" s="2"/>
    </row>
    <row r="276" spans="1:10" x14ac:dyDescent="0.3">
      <c r="A276" s="1">
        <v>275</v>
      </c>
      <c r="B276" s="2">
        <v>54</v>
      </c>
      <c r="C276" s="18">
        <f t="shared" si="27"/>
        <v>113</v>
      </c>
      <c r="D276" s="1">
        <f t="shared" si="24"/>
        <v>188</v>
      </c>
      <c r="E276" s="1">
        <f t="shared" si="25"/>
        <v>322</v>
      </c>
      <c r="F276" s="1">
        <f t="shared" si="28"/>
        <v>45</v>
      </c>
      <c r="G276" s="1">
        <f t="shared" si="29"/>
        <v>2</v>
      </c>
      <c r="H276" s="18">
        <f t="shared" si="26"/>
        <v>5</v>
      </c>
      <c r="I276" s="1"/>
      <c r="J276" s="2"/>
    </row>
    <row r="277" spans="1:10" x14ac:dyDescent="0.3">
      <c r="A277" s="1">
        <v>276</v>
      </c>
      <c r="B277" s="2">
        <v>51</v>
      </c>
      <c r="C277" s="18">
        <f t="shared" si="27"/>
        <v>114</v>
      </c>
      <c r="D277" s="1">
        <f t="shared" si="24"/>
        <v>188.5</v>
      </c>
      <c r="E277" s="1">
        <f t="shared" si="25"/>
        <v>321.5</v>
      </c>
      <c r="F277" s="1">
        <f t="shared" si="28"/>
        <v>45.5</v>
      </c>
      <c r="G277" s="1">
        <f t="shared" si="29"/>
        <v>0.5</v>
      </c>
      <c r="H277" s="18">
        <f t="shared" si="26"/>
        <v>5</v>
      </c>
      <c r="I277" s="1"/>
      <c r="J277" s="2"/>
    </row>
    <row r="278" spans="1:10" x14ac:dyDescent="0.3">
      <c r="A278" s="1">
        <v>277</v>
      </c>
      <c r="B278" s="2">
        <v>54</v>
      </c>
      <c r="C278" s="18">
        <f t="shared" si="27"/>
        <v>118</v>
      </c>
      <c r="D278" s="1">
        <f t="shared" si="24"/>
        <v>189</v>
      </c>
      <c r="E278" s="1">
        <f t="shared" si="25"/>
        <v>321</v>
      </c>
      <c r="F278" s="1">
        <f t="shared" si="28"/>
        <v>49</v>
      </c>
      <c r="G278" s="1">
        <f t="shared" si="29"/>
        <v>0</v>
      </c>
      <c r="H278" s="18">
        <f t="shared" si="26"/>
        <v>5</v>
      </c>
      <c r="I278" s="1"/>
      <c r="J278" s="2"/>
    </row>
    <row r="279" spans="1:10" x14ac:dyDescent="0.3">
      <c r="A279" s="1">
        <v>278</v>
      </c>
      <c r="B279" s="2">
        <v>51</v>
      </c>
      <c r="C279" s="18">
        <f t="shared" si="27"/>
        <v>119</v>
      </c>
      <c r="D279" s="1">
        <f t="shared" si="24"/>
        <v>189.5</v>
      </c>
      <c r="E279" s="1">
        <f t="shared" si="25"/>
        <v>320.5</v>
      </c>
      <c r="F279" s="1">
        <f t="shared" si="28"/>
        <v>49.5</v>
      </c>
      <c r="G279" s="1">
        <f t="shared" si="29"/>
        <v>0</v>
      </c>
      <c r="H279" s="18">
        <f t="shared" si="26"/>
        <v>5</v>
      </c>
      <c r="I279" s="1"/>
      <c r="J279" s="2"/>
    </row>
    <row r="280" spans="1:10" x14ac:dyDescent="0.3">
      <c r="A280" s="1">
        <v>279</v>
      </c>
      <c r="B280" s="2">
        <v>45</v>
      </c>
      <c r="C280" s="18">
        <f t="shared" si="27"/>
        <v>114</v>
      </c>
      <c r="D280" s="1">
        <f t="shared" si="24"/>
        <v>190</v>
      </c>
      <c r="E280" s="1">
        <f t="shared" si="25"/>
        <v>320</v>
      </c>
      <c r="F280" s="1">
        <f t="shared" si="28"/>
        <v>44</v>
      </c>
      <c r="G280" s="1">
        <f t="shared" si="29"/>
        <v>4.5</v>
      </c>
      <c r="H280" s="18">
        <f t="shared" si="26"/>
        <v>5</v>
      </c>
      <c r="I280" s="1"/>
      <c r="J280" s="2"/>
    </row>
    <row r="281" spans="1:10" x14ac:dyDescent="0.3">
      <c r="A281" s="1">
        <v>280</v>
      </c>
      <c r="B281" s="2">
        <v>57</v>
      </c>
      <c r="C281" s="18">
        <f t="shared" si="27"/>
        <v>121</v>
      </c>
      <c r="D281" s="1">
        <f t="shared" si="24"/>
        <v>190.5</v>
      </c>
      <c r="E281" s="1">
        <f t="shared" si="25"/>
        <v>319.5</v>
      </c>
      <c r="F281" s="1">
        <f t="shared" si="28"/>
        <v>50.5</v>
      </c>
      <c r="G281" s="1">
        <f t="shared" si="29"/>
        <v>0</v>
      </c>
      <c r="H281" s="18">
        <f t="shared" si="26"/>
        <v>5</v>
      </c>
      <c r="I281" s="1"/>
      <c r="J281" s="2"/>
    </row>
    <row r="282" spans="1:10" x14ac:dyDescent="0.3">
      <c r="A282" s="1">
        <v>281</v>
      </c>
      <c r="B282" s="2">
        <v>48</v>
      </c>
      <c r="C282" s="18">
        <f t="shared" si="27"/>
        <v>119</v>
      </c>
      <c r="D282" s="1">
        <f t="shared" si="24"/>
        <v>191</v>
      </c>
      <c r="E282" s="1">
        <f t="shared" si="25"/>
        <v>319</v>
      </c>
      <c r="F282" s="1">
        <f t="shared" si="28"/>
        <v>48</v>
      </c>
      <c r="G282" s="1">
        <f t="shared" si="29"/>
        <v>1.5</v>
      </c>
      <c r="H282" s="18">
        <f t="shared" si="26"/>
        <v>5</v>
      </c>
      <c r="I282" s="1"/>
      <c r="J282" s="2"/>
    </row>
    <row r="283" spans="1:10" x14ac:dyDescent="0.3">
      <c r="A283" s="1">
        <v>282</v>
      </c>
      <c r="B283" s="2">
        <v>46</v>
      </c>
      <c r="C283" s="18">
        <f t="shared" si="27"/>
        <v>115</v>
      </c>
      <c r="D283" s="1">
        <f t="shared" si="24"/>
        <v>191.5</v>
      </c>
      <c r="E283" s="1">
        <f t="shared" si="25"/>
        <v>318.5</v>
      </c>
      <c r="F283" s="1">
        <f t="shared" si="28"/>
        <v>43.5</v>
      </c>
      <c r="G283" s="1">
        <f t="shared" si="29"/>
        <v>5</v>
      </c>
      <c r="H283" s="18">
        <f t="shared" si="26"/>
        <v>5</v>
      </c>
      <c r="I283" s="1"/>
      <c r="J283" s="2"/>
    </row>
    <row r="284" spans="1:10" x14ac:dyDescent="0.3">
      <c r="A284" s="1">
        <v>283</v>
      </c>
      <c r="B284" s="2">
        <v>51</v>
      </c>
      <c r="C284" s="18">
        <f t="shared" si="27"/>
        <v>116</v>
      </c>
      <c r="D284" s="1">
        <f t="shared" si="24"/>
        <v>192</v>
      </c>
      <c r="E284" s="1">
        <f t="shared" si="25"/>
        <v>318</v>
      </c>
      <c r="F284" s="1">
        <f t="shared" si="28"/>
        <v>44</v>
      </c>
      <c r="G284" s="1">
        <f t="shared" si="29"/>
        <v>3.5</v>
      </c>
      <c r="H284" s="18">
        <f t="shared" si="26"/>
        <v>5</v>
      </c>
      <c r="I284" s="1"/>
      <c r="J284" s="2"/>
    </row>
    <row r="285" spans="1:10" x14ac:dyDescent="0.3">
      <c r="A285" s="1">
        <v>284</v>
      </c>
      <c r="B285" s="2">
        <v>57</v>
      </c>
      <c r="C285" s="18">
        <f t="shared" si="27"/>
        <v>123</v>
      </c>
      <c r="D285" s="1">
        <f t="shared" si="24"/>
        <v>192.5</v>
      </c>
      <c r="E285" s="1">
        <f t="shared" si="25"/>
        <v>317.5</v>
      </c>
      <c r="F285" s="1">
        <f t="shared" si="28"/>
        <v>50.5</v>
      </c>
      <c r="G285" s="1">
        <f t="shared" si="29"/>
        <v>0</v>
      </c>
      <c r="H285" s="18">
        <f t="shared" si="26"/>
        <v>5</v>
      </c>
      <c r="I285" s="1"/>
      <c r="J285" s="2"/>
    </row>
    <row r="286" spans="1:10" x14ac:dyDescent="0.3">
      <c r="A286" s="1">
        <v>285</v>
      </c>
      <c r="B286" s="2">
        <v>54</v>
      </c>
      <c r="C286" s="18">
        <f t="shared" si="27"/>
        <v>127</v>
      </c>
      <c r="D286" s="1">
        <f t="shared" si="24"/>
        <v>193</v>
      </c>
      <c r="E286" s="1">
        <f t="shared" si="25"/>
        <v>317</v>
      </c>
      <c r="F286" s="1">
        <f t="shared" si="28"/>
        <v>54</v>
      </c>
      <c r="G286" s="1">
        <f t="shared" si="29"/>
        <v>0</v>
      </c>
      <c r="H286" s="18">
        <f t="shared" si="26"/>
        <v>5</v>
      </c>
      <c r="I286" s="1"/>
      <c r="J286" s="2"/>
    </row>
    <row r="287" spans="1:10" x14ac:dyDescent="0.3">
      <c r="A287" s="1">
        <v>286</v>
      </c>
      <c r="B287" s="2">
        <v>45</v>
      </c>
      <c r="C287" s="18">
        <f t="shared" si="27"/>
        <v>122</v>
      </c>
      <c r="D287" s="1">
        <f t="shared" si="24"/>
        <v>193.5</v>
      </c>
      <c r="E287" s="1">
        <f t="shared" si="25"/>
        <v>316.5</v>
      </c>
      <c r="F287" s="1">
        <f t="shared" si="28"/>
        <v>48.5</v>
      </c>
      <c r="G287" s="1">
        <f t="shared" si="29"/>
        <v>4.5</v>
      </c>
      <c r="H287" s="18">
        <f t="shared" si="26"/>
        <v>5</v>
      </c>
      <c r="I287" s="1"/>
      <c r="J287" s="2"/>
    </row>
    <row r="288" spans="1:10" x14ac:dyDescent="0.3">
      <c r="A288" s="1">
        <v>287</v>
      </c>
      <c r="B288" s="2">
        <v>54</v>
      </c>
      <c r="C288" s="18">
        <f t="shared" si="27"/>
        <v>126</v>
      </c>
      <c r="D288" s="1">
        <f t="shared" si="24"/>
        <v>194</v>
      </c>
      <c r="E288" s="1">
        <f t="shared" si="25"/>
        <v>316</v>
      </c>
      <c r="F288" s="1">
        <f t="shared" si="28"/>
        <v>52</v>
      </c>
      <c r="G288" s="1">
        <f t="shared" si="29"/>
        <v>0</v>
      </c>
      <c r="H288" s="18">
        <f t="shared" si="26"/>
        <v>5</v>
      </c>
      <c r="I288" s="1"/>
      <c r="J288" s="2"/>
    </row>
    <row r="289" spans="1:10" x14ac:dyDescent="0.3">
      <c r="A289" s="1">
        <v>288</v>
      </c>
      <c r="B289" s="2">
        <v>53</v>
      </c>
      <c r="C289" s="18">
        <f t="shared" si="27"/>
        <v>129</v>
      </c>
      <c r="D289" s="1">
        <f t="shared" si="24"/>
        <v>194.5</v>
      </c>
      <c r="E289" s="1">
        <f t="shared" si="25"/>
        <v>315.5</v>
      </c>
      <c r="F289" s="1">
        <f t="shared" si="28"/>
        <v>54.5</v>
      </c>
      <c r="G289" s="1">
        <f t="shared" si="29"/>
        <v>0</v>
      </c>
      <c r="H289" s="18">
        <f t="shared" si="26"/>
        <v>5</v>
      </c>
      <c r="I289" s="1"/>
      <c r="J289" s="2"/>
    </row>
    <row r="290" spans="1:10" x14ac:dyDescent="0.3">
      <c r="A290" s="1">
        <v>289</v>
      </c>
      <c r="B290" s="2">
        <v>54</v>
      </c>
      <c r="C290" s="18">
        <f t="shared" si="27"/>
        <v>133</v>
      </c>
      <c r="D290" s="1">
        <f t="shared" si="24"/>
        <v>195</v>
      </c>
      <c r="E290" s="1">
        <f t="shared" si="25"/>
        <v>315</v>
      </c>
      <c r="F290" s="1">
        <f t="shared" si="28"/>
        <v>58</v>
      </c>
      <c r="G290" s="1">
        <f t="shared" si="29"/>
        <v>0</v>
      </c>
      <c r="H290" s="18">
        <f t="shared" si="26"/>
        <v>5</v>
      </c>
      <c r="I290" s="1"/>
      <c r="J290" s="2"/>
    </row>
    <row r="291" spans="1:10" x14ac:dyDescent="0.3">
      <c r="A291" s="1">
        <v>290</v>
      </c>
      <c r="B291" s="2">
        <v>56</v>
      </c>
      <c r="C291" s="18">
        <f t="shared" si="27"/>
        <v>139</v>
      </c>
      <c r="D291" s="1">
        <f t="shared" si="24"/>
        <v>195.5</v>
      </c>
      <c r="E291" s="1">
        <f t="shared" si="25"/>
        <v>314.5</v>
      </c>
      <c r="F291" s="1">
        <f t="shared" si="28"/>
        <v>63.5</v>
      </c>
      <c r="G291" s="1">
        <f t="shared" si="29"/>
        <v>0</v>
      </c>
      <c r="H291" s="18">
        <f t="shared" si="26"/>
        <v>5</v>
      </c>
      <c r="I291" s="1"/>
      <c r="J291" s="2"/>
    </row>
    <row r="292" spans="1:10" x14ac:dyDescent="0.3">
      <c r="A292" s="1">
        <v>291</v>
      </c>
      <c r="B292" s="2">
        <v>48</v>
      </c>
      <c r="C292" s="18">
        <f t="shared" si="27"/>
        <v>137</v>
      </c>
      <c r="D292" s="1">
        <f t="shared" si="24"/>
        <v>196</v>
      </c>
      <c r="E292" s="1">
        <f t="shared" si="25"/>
        <v>314</v>
      </c>
      <c r="F292" s="1">
        <f t="shared" si="28"/>
        <v>61</v>
      </c>
      <c r="G292" s="1">
        <f t="shared" si="29"/>
        <v>1.5</v>
      </c>
      <c r="H292" s="18">
        <f t="shared" si="26"/>
        <v>5</v>
      </c>
      <c r="I292" s="1"/>
      <c r="J292" s="2"/>
    </row>
    <row r="293" spans="1:10" x14ac:dyDescent="0.3">
      <c r="A293" s="1">
        <v>292</v>
      </c>
      <c r="B293" s="2">
        <v>46</v>
      </c>
      <c r="C293" s="18">
        <f t="shared" si="27"/>
        <v>133</v>
      </c>
      <c r="D293" s="1">
        <f t="shared" si="24"/>
        <v>196.5</v>
      </c>
      <c r="E293" s="1">
        <f t="shared" si="25"/>
        <v>313.5</v>
      </c>
      <c r="F293" s="1">
        <f t="shared" si="28"/>
        <v>56.5</v>
      </c>
      <c r="G293" s="1">
        <f t="shared" si="29"/>
        <v>5</v>
      </c>
      <c r="H293" s="18">
        <f t="shared" si="26"/>
        <v>5</v>
      </c>
      <c r="I293" s="1"/>
      <c r="J293" s="2"/>
    </row>
    <row r="294" spans="1:10" x14ac:dyDescent="0.3">
      <c r="A294" s="1">
        <v>293</v>
      </c>
      <c r="B294" s="2">
        <v>56</v>
      </c>
      <c r="C294" s="18">
        <f t="shared" si="27"/>
        <v>139</v>
      </c>
      <c r="D294" s="1">
        <f t="shared" si="24"/>
        <v>197</v>
      </c>
      <c r="E294" s="1">
        <f t="shared" si="25"/>
        <v>313</v>
      </c>
      <c r="F294" s="1">
        <f t="shared" si="28"/>
        <v>62</v>
      </c>
      <c r="G294" s="1">
        <f t="shared" si="29"/>
        <v>0</v>
      </c>
      <c r="H294" s="18">
        <f t="shared" si="26"/>
        <v>5</v>
      </c>
      <c r="I294" s="1"/>
      <c r="J294" s="2"/>
    </row>
    <row r="295" spans="1:10" x14ac:dyDescent="0.3">
      <c r="A295" s="1">
        <v>294</v>
      </c>
      <c r="B295" s="2">
        <v>51</v>
      </c>
      <c r="C295" s="18">
        <f t="shared" si="27"/>
        <v>140</v>
      </c>
      <c r="D295" s="1">
        <f t="shared" si="24"/>
        <v>197.5</v>
      </c>
      <c r="E295" s="1">
        <f t="shared" si="25"/>
        <v>312.5</v>
      </c>
      <c r="F295" s="1">
        <f t="shared" si="28"/>
        <v>62.5</v>
      </c>
      <c r="G295" s="1">
        <f t="shared" si="29"/>
        <v>0</v>
      </c>
      <c r="H295" s="18">
        <f t="shared" si="26"/>
        <v>5</v>
      </c>
      <c r="I295" s="1"/>
      <c r="J295" s="2"/>
    </row>
    <row r="296" spans="1:10" x14ac:dyDescent="0.3">
      <c r="A296" s="1">
        <v>295</v>
      </c>
      <c r="B296" s="2">
        <v>57</v>
      </c>
      <c r="C296" s="18">
        <f t="shared" si="27"/>
        <v>147</v>
      </c>
      <c r="D296" s="1">
        <f t="shared" si="24"/>
        <v>198</v>
      </c>
      <c r="E296" s="1">
        <f t="shared" si="25"/>
        <v>312</v>
      </c>
      <c r="F296" s="1">
        <f t="shared" si="28"/>
        <v>69</v>
      </c>
      <c r="G296" s="1">
        <f t="shared" si="29"/>
        <v>0</v>
      </c>
      <c r="H296" s="18">
        <f t="shared" si="26"/>
        <v>5</v>
      </c>
      <c r="I296" s="1"/>
      <c r="J296" s="2"/>
    </row>
    <row r="297" spans="1:10" x14ac:dyDescent="0.3">
      <c r="A297" s="1">
        <v>296</v>
      </c>
      <c r="B297" s="2">
        <v>54</v>
      </c>
      <c r="C297" s="18">
        <f t="shared" si="27"/>
        <v>151</v>
      </c>
      <c r="D297" s="1">
        <f t="shared" si="24"/>
        <v>198.5</v>
      </c>
      <c r="E297" s="1">
        <f t="shared" si="25"/>
        <v>311.5</v>
      </c>
      <c r="F297" s="1">
        <f t="shared" si="28"/>
        <v>72.5</v>
      </c>
      <c r="G297" s="1">
        <f t="shared" si="29"/>
        <v>0</v>
      </c>
      <c r="H297" s="18">
        <f t="shared" si="26"/>
        <v>5</v>
      </c>
      <c r="I297" s="1"/>
      <c r="J297" s="2"/>
    </row>
    <row r="298" spans="1:10" x14ac:dyDescent="0.3">
      <c r="A298" s="1">
        <v>297</v>
      </c>
      <c r="B298" s="2">
        <v>53</v>
      </c>
      <c r="C298" s="18">
        <f t="shared" si="27"/>
        <v>154</v>
      </c>
      <c r="D298" s="1">
        <f t="shared" si="24"/>
        <v>199</v>
      </c>
      <c r="E298" s="1">
        <f t="shared" si="25"/>
        <v>311</v>
      </c>
      <c r="F298" s="1">
        <f t="shared" si="28"/>
        <v>75</v>
      </c>
      <c r="G298" s="1">
        <f t="shared" si="29"/>
        <v>0</v>
      </c>
      <c r="H298" s="18">
        <f t="shared" si="26"/>
        <v>5</v>
      </c>
      <c r="I298" s="1"/>
      <c r="J298" s="2"/>
    </row>
    <row r="299" spans="1:10" x14ac:dyDescent="0.3">
      <c r="A299" s="1">
        <v>298</v>
      </c>
      <c r="B299" s="2">
        <v>51</v>
      </c>
      <c r="C299" s="18">
        <f t="shared" si="27"/>
        <v>155</v>
      </c>
      <c r="D299" s="1">
        <f t="shared" si="24"/>
        <v>199.5</v>
      </c>
      <c r="E299" s="1">
        <f t="shared" si="25"/>
        <v>310.5</v>
      </c>
      <c r="F299" s="1">
        <f t="shared" si="28"/>
        <v>75.5</v>
      </c>
      <c r="G299" s="1">
        <f t="shared" si="29"/>
        <v>0</v>
      </c>
      <c r="H299" s="18">
        <f t="shared" si="26"/>
        <v>5</v>
      </c>
      <c r="I299" s="1"/>
      <c r="J299" s="2"/>
    </row>
    <row r="300" spans="1:10" x14ac:dyDescent="0.3">
      <c r="A300" s="1">
        <v>299</v>
      </c>
      <c r="B300" s="2">
        <v>51</v>
      </c>
      <c r="C300" s="18">
        <f t="shared" si="27"/>
        <v>156</v>
      </c>
      <c r="D300" s="1">
        <f t="shared" si="24"/>
        <v>200</v>
      </c>
      <c r="E300" s="1">
        <f t="shared" si="25"/>
        <v>310</v>
      </c>
      <c r="F300" s="1">
        <f t="shared" si="28"/>
        <v>76</v>
      </c>
      <c r="G300" s="1">
        <f t="shared" si="29"/>
        <v>0</v>
      </c>
      <c r="H300" s="18">
        <f t="shared" si="26"/>
        <v>5</v>
      </c>
      <c r="I300" s="1"/>
      <c r="J300" s="2"/>
    </row>
    <row r="301" spans="1:10" x14ac:dyDescent="0.3">
      <c r="A301" s="1">
        <v>300</v>
      </c>
      <c r="B301" s="2">
        <v>56</v>
      </c>
      <c r="C301" s="18">
        <f t="shared" si="27"/>
        <v>162</v>
      </c>
      <c r="D301" s="1">
        <f t="shared" si="24"/>
        <v>200.5</v>
      </c>
      <c r="E301" s="1">
        <f t="shared" si="25"/>
        <v>309.5</v>
      </c>
      <c r="F301" s="1">
        <f t="shared" si="28"/>
        <v>81.5</v>
      </c>
      <c r="G301" s="1">
        <f t="shared" si="29"/>
        <v>0</v>
      </c>
      <c r="H301" s="18">
        <f t="shared" si="26"/>
        <v>5</v>
      </c>
      <c r="I301" s="1"/>
      <c r="J301" s="2"/>
    </row>
    <row r="302" spans="1:10" x14ac:dyDescent="0.3">
      <c r="A302" s="1">
        <v>301</v>
      </c>
      <c r="B302" s="2">
        <v>52</v>
      </c>
      <c r="C302" s="18">
        <f t="shared" si="27"/>
        <v>164</v>
      </c>
      <c r="D302" s="1">
        <f t="shared" si="24"/>
        <v>201</v>
      </c>
      <c r="E302" s="1">
        <f t="shared" si="25"/>
        <v>309</v>
      </c>
      <c r="F302" s="1">
        <f t="shared" si="28"/>
        <v>83</v>
      </c>
      <c r="G302" s="1">
        <f t="shared" si="29"/>
        <v>0</v>
      </c>
      <c r="H302" s="18">
        <f t="shared" si="26"/>
        <v>5</v>
      </c>
      <c r="I302" s="1"/>
      <c r="J302" s="2"/>
    </row>
    <row r="303" spans="1:10" x14ac:dyDescent="0.3">
      <c r="A303" s="1">
        <v>302</v>
      </c>
      <c r="B303" s="2">
        <v>49</v>
      </c>
      <c r="C303" s="18">
        <f t="shared" si="27"/>
        <v>163</v>
      </c>
      <c r="D303" s="1">
        <f t="shared" si="24"/>
        <v>201.5</v>
      </c>
      <c r="E303" s="1">
        <f t="shared" si="25"/>
        <v>308.5</v>
      </c>
      <c r="F303" s="1">
        <f t="shared" si="28"/>
        <v>81.5</v>
      </c>
      <c r="G303" s="1">
        <f t="shared" si="29"/>
        <v>0.5</v>
      </c>
      <c r="H303" s="18">
        <f t="shared" si="26"/>
        <v>5</v>
      </c>
      <c r="I303" s="1"/>
      <c r="J303" s="2"/>
    </row>
    <row r="304" spans="1:10" x14ac:dyDescent="0.3">
      <c r="A304" s="1">
        <v>303</v>
      </c>
      <c r="B304" s="2">
        <v>45</v>
      </c>
      <c r="C304" s="18">
        <f t="shared" si="27"/>
        <v>158</v>
      </c>
      <c r="D304" s="1">
        <f t="shared" si="24"/>
        <v>202</v>
      </c>
      <c r="E304" s="1">
        <f t="shared" si="25"/>
        <v>308</v>
      </c>
      <c r="F304" s="1">
        <f t="shared" si="28"/>
        <v>76</v>
      </c>
      <c r="G304" s="1">
        <f t="shared" si="29"/>
        <v>5</v>
      </c>
      <c r="H304" s="18">
        <f t="shared" si="26"/>
        <v>5</v>
      </c>
      <c r="I304" s="1"/>
      <c r="J304" s="2"/>
    </row>
    <row r="305" spans="1:10" x14ac:dyDescent="0.3">
      <c r="A305" s="1">
        <v>304</v>
      </c>
      <c r="B305" s="2">
        <v>48</v>
      </c>
      <c r="C305" s="18">
        <f t="shared" si="27"/>
        <v>156</v>
      </c>
      <c r="D305" s="1">
        <f t="shared" si="24"/>
        <v>202.5</v>
      </c>
      <c r="E305" s="1">
        <f t="shared" si="25"/>
        <v>307.5</v>
      </c>
      <c r="F305" s="1">
        <f t="shared" si="28"/>
        <v>73.5</v>
      </c>
      <c r="G305" s="1">
        <f t="shared" si="29"/>
        <v>6.5</v>
      </c>
      <c r="H305" s="18">
        <f t="shared" si="26"/>
        <v>5</v>
      </c>
      <c r="I305" s="1"/>
      <c r="J305" s="2"/>
    </row>
    <row r="306" spans="1:10" x14ac:dyDescent="0.3">
      <c r="A306" s="1">
        <v>305</v>
      </c>
      <c r="B306" s="2">
        <v>55</v>
      </c>
      <c r="C306" s="18">
        <f t="shared" si="27"/>
        <v>161</v>
      </c>
      <c r="D306" s="1">
        <f t="shared" si="24"/>
        <v>203</v>
      </c>
      <c r="E306" s="1">
        <f t="shared" si="25"/>
        <v>307</v>
      </c>
      <c r="F306" s="1">
        <f t="shared" si="28"/>
        <v>78</v>
      </c>
      <c r="G306" s="1">
        <f t="shared" si="29"/>
        <v>1</v>
      </c>
      <c r="H306" s="18">
        <f t="shared" si="26"/>
        <v>5</v>
      </c>
      <c r="I306" s="1"/>
      <c r="J306" s="2"/>
    </row>
    <row r="307" spans="1:10" x14ac:dyDescent="0.3">
      <c r="A307" s="1">
        <v>306</v>
      </c>
      <c r="B307" s="2">
        <v>49</v>
      </c>
      <c r="C307" s="18">
        <f t="shared" si="27"/>
        <v>160</v>
      </c>
      <c r="D307" s="1">
        <f t="shared" si="24"/>
        <v>203.5</v>
      </c>
      <c r="E307" s="1">
        <f t="shared" si="25"/>
        <v>306.5</v>
      </c>
      <c r="F307" s="1">
        <f t="shared" si="28"/>
        <v>76.5</v>
      </c>
      <c r="G307" s="1">
        <f t="shared" si="29"/>
        <v>1.5</v>
      </c>
      <c r="H307" s="18">
        <f t="shared" si="26"/>
        <v>5</v>
      </c>
      <c r="I307" s="1"/>
      <c r="J307" s="2"/>
    </row>
    <row r="308" spans="1:10" x14ac:dyDescent="0.3">
      <c r="A308" s="1">
        <v>307</v>
      </c>
      <c r="B308" s="2">
        <v>56</v>
      </c>
      <c r="C308" s="18">
        <f t="shared" si="27"/>
        <v>166</v>
      </c>
      <c r="D308" s="1">
        <f t="shared" si="24"/>
        <v>204</v>
      </c>
      <c r="E308" s="1">
        <f t="shared" si="25"/>
        <v>306</v>
      </c>
      <c r="F308" s="1">
        <f t="shared" si="28"/>
        <v>82</v>
      </c>
      <c r="G308" s="1">
        <f t="shared" si="29"/>
        <v>0</v>
      </c>
      <c r="H308" s="18">
        <f t="shared" si="26"/>
        <v>5</v>
      </c>
      <c r="I308" s="1"/>
      <c r="J308" s="2"/>
    </row>
    <row r="309" spans="1:10" x14ac:dyDescent="0.3">
      <c r="A309" s="1">
        <v>308</v>
      </c>
      <c r="B309" s="2">
        <v>45</v>
      </c>
      <c r="C309" s="18">
        <f t="shared" si="27"/>
        <v>161</v>
      </c>
      <c r="D309" s="1">
        <f t="shared" si="24"/>
        <v>204.5</v>
      </c>
      <c r="E309" s="1">
        <f t="shared" si="25"/>
        <v>305.5</v>
      </c>
      <c r="F309" s="1">
        <f t="shared" si="28"/>
        <v>76.5</v>
      </c>
      <c r="G309" s="1">
        <f t="shared" si="29"/>
        <v>4.5</v>
      </c>
      <c r="H309" s="18">
        <f t="shared" si="26"/>
        <v>5</v>
      </c>
      <c r="I309" s="1"/>
      <c r="J309" s="2"/>
    </row>
    <row r="310" spans="1:10" x14ac:dyDescent="0.3">
      <c r="A310" s="1">
        <v>309</v>
      </c>
      <c r="B310" s="2">
        <v>46</v>
      </c>
      <c r="C310" s="18">
        <f t="shared" si="27"/>
        <v>157</v>
      </c>
      <c r="D310" s="1">
        <f t="shared" si="24"/>
        <v>205</v>
      </c>
      <c r="E310" s="1">
        <f t="shared" si="25"/>
        <v>305</v>
      </c>
      <c r="F310" s="1">
        <f t="shared" si="28"/>
        <v>72</v>
      </c>
      <c r="G310" s="1">
        <f t="shared" si="29"/>
        <v>8</v>
      </c>
      <c r="H310" s="18">
        <f t="shared" si="26"/>
        <v>5</v>
      </c>
      <c r="I310" s="1"/>
      <c r="J310" s="2"/>
    </row>
    <row r="311" spans="1:10" x14ac:dyDescent="0.3">
      <c r="A311" s="1">
        <v>310</v>
      </c>
      <c r="B311" s="2">
        <v>52</v>
      </c>
      <c r="C311" s="18">
        <f t="shared" si="27"/>
        <v>159</v>
      </c>
      <c r="D311" s="1">
        <f t="shared" si="24"/>
        <v>205.5</v>
      </c>
      <c r="E311" s="1">
        <f t="shared" si="25"/>
        <v>304.5</v>
      </c>
      <c r="F311" s="1">
        <f t="shared" si="28"/>
        <v>73.5</v>
      </c>
      <c r="G311" s="1">
        <f t="shared" si="29"/>
        <v>5.5</v>
      </c>
      <c r="H311" s="18">
        <f t="shared" si="26"/>
        <v>5</v>
      </c>
      <c r="I311" s="1"/>
      <c r="J311" s="2"/>
    </row>
    <row r="312" spans="1:10" x14ac:dyDescent="0.3">
      <c r="A312" s="1">
        <v>311</v>
      </c>
      <c r="B312" s="2">
        <v>53</v>
      </c>
      <c r="C312" s="18">
        <f t="shared" si="27"/>
        <v>162</v>
      </c>
      <c r="D312" s="1">
        <f t="shared" si="24"/>
        <v>206</v>
      </c>
      <c r="E312" s="1">
        <f t="shared" si="25"/>
        <v>304</v>
      </c>
      <c r="F312" s="1">
        <f t="shared" si="28"/>
        <v>76</v>
      </c>
      <c r="G312" s="1">
        <f t="shared" si="29"/>
        <v>2</v>
      </c>
      <c r="H312" s="18">
        <f t="shared" si="26"/>
        <v>5</v>
      </c>
      <c r="I312" s="1"/>
      <c r="J312" s="2"/>
    </row>
    <row r="313" spans="1:10" x14ac:dyDescent="0.3">
      <c r="A313" s="1">
        <v>312</v>
      </c>
      <c r="B313" s="2">
        <v>46</v>
      </c>
      <c r="C313" s="18">
        <f t="shared" si="27"/>
        <v>158</v>
      </c>
      <c r="D313" s="1">
        <f t="shared" si="24"/>
        <v>206.5</v>
      </c>
      <c r="E313" s="1">
        <f t="shared" si="25"/>
        <v>303.5</v>
      </c>
      <c r="F313" s="1">
        <f t="shared" si="28"/>
        <v>71.5</v>
      </c>
      <c r="G313" s="1">
        <f t="shared" si="29"/>
        <v>5.5</v>
      </c>
      <c r="H313" s="18">
        <f t="shared" si="26"/>
        <v>5</v>
      </c>
      <c r="I313" s="1"/>
      <c r="J313" s="2"/>
    </row>
    <row r="314" spans="1:10" x14ac:dyDescent="0.3">
      <c r="A314" s="1">
        <v>313</v>
      </c>
      <c r="B314" s="2">
        <v>54</v>
      </c>
      <c r="C314" s="18">
        <f t="shared" si="27"/>
        <v>162</v>
      </c>
      <c r="D314" s="1">
        <f t="shared" si="24"/>
        <v>207</v>
      </c>
      <c r="E314" s="1">
        <f t="shared" si="25"/>
        <v>303</v>
      </c>
      <c r="F314" s="1">
        <f t="shared" si="28"/>
        <v>75</v>
      </c>
      <c r="G314" s="1">
        <f t="shared" si="29"/>
        <v>1</v>
      </c>
      <c r="H314" s="18">
        <f t="shared" si="26"/>
        <v>5</v>
      </c>
      <c r="I314" s="1"/>
      <c r="J314" s="2"/>
    </row>
    <row r="315" spans="1:10" x14ac:dyDescent="0.3">
      <c r="A315" s="1">
        <v>314</v>
      </c>
      <c r="B315" s="2">
        <v>45</v>
      </c>
      <c r="C315" s="18">
        <f t="shared" si="27"/>
        <v>157</v>
      </c>
      <c r="D315" s="1">
        <f t="shared" si="24"/>
        <v>207.5</v>
      </c>
      <c r="E315" s="1">
        <f t="shared" si="25"/>
        <v>302.5</v>
      </c>
      <c r="F315" s="1">
        <f t="shared" si="28"/>
        <v>69.5</v>
      </c>
      <c r="G315" s="1">
        <f t="shared" si="29"/>
        <v>5.5</v>
      </c>
      <c r="H315" s="18">
        <f t="shared" si="26"/>
        <v>5</v>
      </c>
      <c r="I315" s="1"/>
      <c r="J315" s="2"/>
    </row>
    <row r="316" spans="1:10" x14ac:dyDescent="0.3">
      <c r="A316" s="1">
        <v>315</v>
      </c>
      <c r="B316" s="2">
        <v>54</v>
      </c>
      <c r="C316" s="18">
        <f t="shared" si="27"/>
        <v>161</v>
      </c>
      <c r="D316" s="1">
        <f t="shared" si="24"/>
        <v>208</v>
      </c>
      <c r="E316" s="1">
        <f t="shared" si="25"/>
        <v>302</v>
      </c>
      <c r="F316" s="1">
        <f t="shared" si="28"/>
        <v>73</v>
      </c>
      <c r="G316" s="1">
        <f t="shared" si="29"/>
        <v>1</v>
      </c>
      <c r="H316" s="18">
        <f t="shared" si="26"/>
        <v>5</v>
      </c>
      <c r="I316" s="1"/>
      <c r="J316" s="2"/>
    </row>
    <row r="317" spans="1:10" x14ac:dyDescent="0.3">
      <c r="A317" s="1">
        <v>316</v>
      </c>
      <c r="B317" s="2">
        <v>54</v>
      </c>
      <c r="C317" s="18">
        <f t="shared" si="27"/>
        <v>165</v>
      </c>
      <c r="D317" s="1">
        <f t="shared" si="24"/>
        <v>208.5</v>
      </c>
      <c r="E317" s="1">
        <f t="shared" si="25"/>
        <v>301.5</v>
      </c>
      <c r="F317" s="1">
        <f t="shared" si="28"/>
        <v>76.5</v>
      </c>
      <c r="G317" s="1">
        <f t="shared" si="29"/>
        <v>0</v>
      </c>
      <c r="H317" s="18">
        <f t="shared" si="26"/>
        <v>5</v>
      </c>
      <c r="I317" s="1"/>
      <c r="J317" s="2"/>
    </row>
    <row r="318" spans="1:10" x14ac:dyDescent="0.3">
      <c r="A318" s="1">
        <v>317</v>
      </c>
      <c r="B318" s="2">
        <v>46</v>
      </c>
      <c r="C318" s="18">
        <f t="shared" si="27"/>
        <v>161</v>
      </c>
      <c r="D318" s="1">
        <f t="shared" si="24"/>
        <v>209</v>
      </c>
      <c r="E318" s="1">
        <f t="shared" si="25"/>
        <v>301</v>
      </c>
      <c r="F318" s="1">
        <f t="shared" si="28"/>
        <v>72</v>
      </c>
      <c r="G318" s="1">
        <f t="shared" si="29"/>
        <v>3.5</v>
      </c>
      <c r="H318" s="18">
        <f t="shared" si="26"/>
        <v>5</v>
      </c>
      <c r="I318" s="1"/>
      <c r="J318" s="2"/>
    </row>
    <row r="319" spans="1:10" x14ac:dyDescent="0.3">
      <c r="A319" s="1">
        <v>318</v>
      </c>
      <c r="B319" s="2">
        <v>55</v>
      </c>
      <c r="C319" s="18">
        <f t="shared" si="27"/>
        <v>166</v>
      </c>
      <c r="D319" s="1">
        <f t="shared" si="24"/>
        <v>209.5</v>
      </c>
      <c r="E319" s="1">
        <f t="shared" si="25"/>
        <v>300.5</v>
      </c>
      <c r="F319" s="1">
        <f t="shared" si="28"/>
        <v>76.5</v>
      </c>
      <c r="G319" s="1">
        <f t="shared" si="29"/>
        <v>0</v>
      </c>
      <c r="H319" s="18">
        <f t="shared" si="26"/>
        <v>5</v>
      </c>
      <c r="I319" s="1"/>
      <c r="J319" s="2"/>
    </row>
    <row r="320" spans="1:10" x14ac:dyDescent="0.3">
      <c r="A320" s="1">
        <v>319</v>
      </c>
      <c r="B320" s="2">
        <v>48</v>
      </c>
      <c r="C320" s="18">
        <f t="shared" si="27"/>
        <v>164</v>
      </c>
      <c r="D320" s="1">
        <f t="shared" si="24"/>
        <v>210</v>
      </c>
      <c r="E320" s="1">
        <f t="shared" si="25"/>
        <v>300</v>
      </c>
      <c r="F320" s="1">
        <f t="shared" si="28"/>
        <v>74</v>
      </c>
      <c r="G320" s="1">
        <f t="shared" si="29"/>
        <v>1.5</v>
      </c>
      <c r="H320" s="18">
        <f t="shared" si="26"/>
        <v>5</v>
      </c>
      <c r="I320" s="1"/>
      <c r="J320" s="2"/>
    </row>
    <row r="321" spans="1:10" x14ac:dyDescent="0.3">
      <c r="A321" s="1">
        <v>320</v>
      </c>
      <c r="B321" s="2">
        <v>47</v>
      </c>
      <c r="C321" s="18">
        <f t="shared" si="27"/>
        <v>161</v>
      </c>
      <c r="D321" s="1">
        <f t="shared" si="24"/>
        <v>210.5</v>
      </c>
      <c r="E321" s="1">
        <f t="shared" si="25"/>
        <v>299.5</v>
      </c>
      <c r="F321" s="1">
        <f t="shared" si="28"/>
        <v>70.5</v>
      </c>
      <c r="G321" s="1">
        <f t="shared" si="29"/>
        <v>4</v>
      </c>
      <c r="H321" s="18">
        <f t="shared" si="26"/>
        <v>5</v>
      </c>
      <c r="I321" s="1"/>
      <c r="J321" s="2"/>
    </row>
    <row r="322" spans="1:10" x14ac:dyDescent="0.3">
      <c r="A322" s="1">
        <v>321</v>
      </c>
      <c r="B322" s="2">
        <v>56</v>
      </c>
      <c r="C322" s="18">
        <f t="shared" si="27"/>
        <v>167</v>
      </c>
      <c r="D322" s="1">
        <f t="shared" ref="D322:D385" si="30">D323-$M$2</f>
        <v>211</v>
      </c>
      <c r="E322" s="1">
        <f t="shared" ref="E322:E385" si="31">E323+$M$2</f>
        <v>299</v>
      </c>
      <c r="F322" s="1">
        <f t="shared" si="28"/>
        <v>76</v>
      </c>
      <c r="G322" s="1">
        <f t="shared" si="29"/>
        <v>0</v>
      </c>
      <c r="H322" s="18">
        <f t="shared" si="26"/>
        <v>5</v>
      </c>
      <c r="I322" s="1"/>
      <c r="J322" s="2"/>
    </row>
    <row r="323" spans="1:10" x14ac:dyDescent="0.3">
      <c r="A323" s="1">
        <v>322</v>
      </c>
      <c r="B323" s="2">
        <v>52</v>
      </c>
      <c r="C323" s="18">
        <f t="shared" si="27"/>
        <v>169</v>
      </c>
      <c r="D323" s="1">
        <f t="shared" si="30"/>
        <v>211.5</v>
      </c>
      <c r="E323" s="1">
        <f t="shared" si="31"/>
        <v>298.5</v>
      </c>
      <c r="F323" s="1">
        <f t="shared" si="28"/>
        <v>77.5</v>
      </c>
      <c r="G323" s="1">
        <f t="shared" si="29"/>
        <v>0</v>
      </c>
      <c r="H323" s="18">
        <f t="shared" ref="H323:H386" si="32">$O$2</f>
        <v>5</v>
      </c>
      <c r="I323" s="1"/>
      <c r="J323" s="2"/>
    </row>
    <row r="324" spans="1:10" x14ac:dyDescent="0.3">
      <c r="A324" s="1">
        <v>323</v>
      </c>
      <c r="B324" s="2">
        <v>55</v>
      </c>
      <c r="C324" s="18">
        <f t="shared" ref="C324:C387" si="33">B324-L$2+C323</f>
        <v>174</v>
      </c>
      <c r="D324" s="1">
        <f t="shared" si="30"/>
        <v>212</v>
      </c>
      <c r="E324" s="1">
        <f t="shared" si="31"/>
        <v>298</v>
      </c>
      <c r="F324" s="1">
        <f t="shared" ref="F324:F387" si="34">MAX(0,B324-$L$2-$M$2+F323)</f>
        <v>82</v>
      </c>
      <c r="G324" s="1">
        <f t="shared" ref="G324:G387" si="35">MAX(0,$L$2-B324-$M$2+G323)</f>
        <v>0</v>
      </c>
      <c r="H324" s="18">
        <f t="shared" si="32"/>
        <v>5</v>
      </c>
      <c r="I324" s="1"/>
      <c r="J324" s="2"/>
    </row>
    <row r="325" spans="1:10" x14ac:dyDescent="0.3">
      <c r="A325" s="1">
        <v>324</v>
      </c>
      <c r="B325" s="2">
        <v>54</v>
      </c>
      <c r="C325" s="18">
        <f t="shared" si="33"/>
        <v>178</v>
      </c>
      <c r="D325" s="1">
        <f t="shared" si="30"/>
        <v>212.5</v>
      </c>
      <c r="E325" s="1">
        <f t="shared" si="31"/>
        <v>297.5</v>
      </c>
      <c r="F325" s="1">
        <f t="shared" si="34"/>
        <v>85.5</v>
      </c>
      <c r="G325" s="1">
        <f t="shared" si="35"/>
        <v>0</v>
      </c>
      <c r="H325" s="18">
        <f t="shared" si="32"/>
        <v>5</v>
      </c>
      <c r="I325" s="1"/>
      <c r="J325" s="2"/>
    </row>
    <row r="326" spans="1:10" x14ac:dyDescent="0.3">
      <c r="A326" s="1">
        <v>325</v>
      </c>
      <c r="B326" s="2">
        <v>50</v>
      </c>
      <c r="C326" s="18">
        <f t="shared" si="33"/>
        <v>178</v>
      </c>
      <c r="D326" s="1">
        <f t="shared" si="30"/>
        <v>213</v>
      </c>
      <c r="E326" s="1">
        <f t="shared" si="31"/>
        <v>297</v>
      </c>
      <c r="F326" s="1">
        <f t="shared" si="34"/>
        <v>85</v>
      </c>
      <c r="G326" s="1">
        <f t="shared" si="35"/>
        <v>0</v>
      </c>
      <c r="H326" s="18">
        <f t="shared" si="32"/>
        <v>5</v>
      </c>
      <c r="I326" s="1"/>
      <c r="J326" s="2"/>
    </row>
    <row r="327" spans="1:10" x14ac:dyDescent="0.3">
      <c r="A327" s="1">
        <v>326</v>
      </c>
      <c r="B327" s="2">
        <v>51</v>
      </c>
      <c r="C327" s="18">
        <f t="shared" si="33"/>
        <v>179</v>
      </c>
      <c r="D327" s="1">
        <f t="shared" si="30"/>
        <v>213.5</v>
      </c>
      <c r="E327" s="1">
        <f t="shared" si="31"/>
        <v>296.5</v>
      </c>
      <c r="F327" s="1">
        <f t="shared" si="34"/>
        <v>85.5</v>
      </c>
      <c r="G327" s="1">
        <f t="shared" si="35"/>
        <v>0</v>
      </c>
      <c r="H327" s="18">
        <f t="shared" si="32"/>
        <v>5</v>
      </c>
      <c r="I327" s="1"/>
      <c r="J327" s="2"/>
    </row>
    <row r="328" spans="1:10" x14ac:dyDescent="0.3">
      <c r="A328" s="1">
        <v>327</v>
      </c>
      <c r="B328" s="2">
        <v>49</v>
      </c>
      <c r="C328" s="18">
        <f t="shared" si="33"/>
        <v>178</v>
      </c>
      <c r="D328" s="1">
        <f t="shared" si="30"/>
        <v>214</v>
      </c>
      <c r="E328" s="1">
        <f t="shared" si="31"/>
        <v>296</v>
      </c>
      <c r="F328" s="1">
        <f t="shared" si="34"/>
        <v>84</v>
      </c>
      <c r="G328" s="1">
        <f t="shared" si="35"/>
        <v>0.5</v>
      </c>
      <c r="H328" s="18">
        <f t="shared" si="32"/>
        <v>5</v>
      </c>
      <c r="I328" s="1"/>
      <c r="J328" s="2"/>
    </row>
    <row r="329" spans="1:10" x14ac:dyDescent="0.3">
      <c r="A329" s="1">
        <v>328</v>
      </c>
      <c r="B329" s="2">
        <v>46</v>
      </c>
      <c r="C329" s="18">
        <f t="shared" si="33"/>
        <v>174</v>
      </c>
      <c r="D329" s="1">
        <f t="shared" si="30"/>
        <v>214.5</v>
      </c>
      <c r="E329" s="1">
        <f t="shared" si="31"/>
        <v>295.5</v>
      </c>
      <c r="F329" s="1">
        <f t="shared" si="34"/>
        <v>79.5</v>
      </c>
      <c r="G329" s="1">
        <f t="shared" si="35"/>
        <v>4</v>
      </c>
      <c r="H329" s="18">
        <f t="shared" si="32"/>
        <v>5</v>
      </c>
      <c r="I329" s="1"/>
      <c r="J329" s="2"/>
    </row>
    <row r="330" spans="1:10" x14ac:dyDescent="0.3">
      <c r="A330" s="1">
        <v>329</v>
      </c>
      <c r="B330" s="2">
        <v>46</v>
      </c>
      <c r="C330" s="18">
        <f t="shared" si="33"/>
        <v>170</v>
      </c>
      <c r="D330" s="1">
        <f t="shared" si="30"/>
        <v>215</v>
      </c>
      <c r="E330" s="1">
        <f t="shared" si="31"/>
        <v>295</v>
      </c>
      <c r="F330" s="1">
        <f t="shared" si="34"/>
        <v>75</v>
      </c>
      <c r="G330" s="1">
        <f t="shared" si="35"/>
        <v>7.5</v>
      </c>
      <c r="H330" s="18">
        <f t="shared" si="32"/>
        <v>5</v>
      </c>
      <c r="I330" s="1"/>
      <c r="J330" s="2"/>
    </row>
    <row r="331" spans="1:10" x14ac:dyDescent="0.3">
      <c r="A331" s="1">
        <v>330</v>
      </c>
      <c r="B331" s="2">
        <v>48</v>
      </c>
      <c r="C331" s="18">
        <f t="shared" si="33"/>
        <v>168</v>
      </c>
      <c r="D331" s="1">
        <f t="shared" si="30"/>
        <v>215.5</v>
      </c>
      <c r="E331" s="1">
        <f t="shared" si="31"/>
        <v>294.5</v>
      </c>
      <c r="F331" s="1">
        <f t="shared" si="34"/>
        <v>72.5</v>
      </c>
      <c r="G331" s="1">
        <f t="shared" si="35"/>
        <v>9</v>
      </c>
      <c r="H331" s="18">
        <f t="shared" si="32"/>
        <v>5</v>
      </c>
      <c r="I331" s="1"/>
      <c r="J331" s="2"/>
    </row>
    <row r="332" spans="1:10" x14ac:dyDescent="0.3">
      <c r="A332" s="1">
        <v>331</v>
      </c>
      <c r="B332" s="2">
        <v>53</v>
      </c>
      <c r="C332" s="18">
        <f t="shared" si="33"/>
        <v>171</v>
      </c>
      <c r="D332" s="1">
        <f t="shared" si="30"/>
        <v>216</v>
      </c>
      <c r="E332" s="1">
        <f t="shared" si="31"/>
        <v>294</v>
      </c>
      <c r="F332" s="1">
        <f t="shared" si="34"/>
        <v>75</v>
      </c>
      <c r="G332" s="1">
        <f t="shared" si="35"/>
        <v>5.5</v>
      </c>
      <c r="H332" s="18">
        <f t="shared" si="32"/>
        <v>5</v>
      </c>
      <c r="I332" s="1"/>
      <c r="J332" s="2"/>
    </row>
    <row r="333" spans="1:10" x14ac:dyDescent="0.3">
      <c r="A333" s="1">
        <v>332</v>
      </c>
      <c r="B333" s="2">
        <v>47</v>
      </c>
      <c r="C333" s="18">
        <f t="shared" si="33"/>
        <v>168</v>
      </c>
      <c r="D333" s="1">
        <f t="shared" si="30"/>
        <v>216.5</v>
      </c>
      <c r="E333" s="1">
        <f t="shared" si="31"/>
        <v>293.5</v>
      </c>
      <c r="F333" s="1">
        <f t="shared" si="34"/>
        <v>71.5</v>
      </c>
      <c r="G333" s="1">
        <f t="shared" si="35"/>
        <v>8</v>
      </c>
      <c r="H333" s="18">
        <f t="shared" si="32"/>
        <v>5</v>
      </c>
      <c r="I333" s="1"/>
      <c r="J333" s="2"/>
    </row>
    <row r="334" spans="1:10" x14ac:dyDescent="0.3">
      <c r="A334" s="1">
        <v>333</v>
      </c>
      <c r="B334" s="2">
        <v>46</v>
      </c>
      <c r="C334" s="18">
        <f t="shared" si="33"/>
        <v>164</v>
      </c>
      <c r="D334" s="1">
        <f t="shared" si="30"/>
        <v>217</v>
      </c>
      <c r="E334" s="1">
        <f t="shared" si="31"/>
        <v>293</v>
      </c>
      <c r="F334" s="1">
        <f t="shared" si="34"/>
        <v>67</v>
      </c>
      <c r="G334" s="1">
        <f t="shared" si="35"/>
        <v>11.5</v>
      </c>
      <c r="H334" s="18">
        <f t="shared" si="32"/>
        <v>5</v>
      </c>
      <c r="I334" s="1"/>
      <c r="J334" s="2"/>
    </row>
    <row r="335" spans="1:10" x14ac:dyDescent="0.3">
      <c r="A335" s="1">
        <v>334</v>
      </c>
      <c r="B335" s="2">
        <v>55</v>
      </c>
      <c r="C335" s="18">
        <f t="shared" si="33"/>
        <v>169</v>
      </c>
      <c r="D335" s="1">
        <f t="shared" si="30"/>
        <v>217.5</v>
      </c>
      <c r="E335" s="1">
        <f t="shared" si="31"/>
        <v>292.5</v>
      </c>
      <c r="F335" s="1">
        <f t="shared" si="34"/>
        <v>71.5</v>
      </c>
      <c r="G335" s="1">
        <f t="shared" si="35"/>
        <v>6</v>
      </c>
      <c r="H335" s="18">
        <f t="shared" si="32"/>
        <v>5</v>
      </c>
      <c r="I335" s="1"/>
      <c r="J335" s="2"/>
    </row>
    <row r="336" spans="1:10" x14ac:dyDescent="0.3">
      <c r="A336" s="1">
        <v>335</v>
      </c>
      <c r="B336" s="2">
        <v>50</v>
      </c>
      <c r="C336" s="18">
        <f t="shared" si="33"/>
        <v>169</v>
      </c>
      <c r="D336" s="1">
        <f t="shared" si="30"/>
        <v>218</v>
      </c>
      <c r="E336" s="1">
        <f t="shared" si="31"/>
        <v>292</v>
      </c>
      <c r="F336" s="1">
        <f t="shared" si="34"/>
        <v>71</v>
      </c>
      <c r="G336" s="1">
        <f t="shared" si="35"/>
        <v>5.5</v>
      </c>
      <c r="H336" s="18">
        <f t="shared" si="32"/>
        <v>5</v>
      </c>
      <c r="I336" s="1"/>
      <c r="J336" s="2"/>
    </row>
    <row r="337" spans="1:10" x14ac:dyDescent="0.3">
      <c r="A337" s="1">
        <v>336</v>
      </c>
      <c r="B337" s="2">
        <v>47</v>
      </c>
      <c r="C337" s="18">
        <f t="shared" si="33"/>
        <v>166</v>
      </c>
      <c r="D337" s="1">
        <f t="shared" si="30"/>
        <v>218.5</v>
      </c>
      <c r="E337" s="1">
        <f t="shared" si="31"/>
        <v>291.5</v>
      </c>
      <c r="F337" s="1">
        <f t="shared" si="34"/>
        <v>67.5</v>
      </c>
      <c r="G337" s="1">
        <f t="shared" si="35"/>
        <v>8</v>
      </c>
      <c r="H337" s="18">
        <f t="shared" si="32"/>
        <v>5</v>
      </c>
      <c r="I337" s="1"/>
      <c r="J337" s="2"/>
    </row>
    <row r="338" spans="1:10" x14ac:dyDescent="0.3">
      <c r="A338" s="1">
        <v>337</v>
      </c>
      <c r="B338" s="2">
        <v>47</v>
      </c>
      <c r="C338" s="18">
        <f t="shared" si="33"/>
        <v>163</v>
      </c>
      <c r="D338" s="1">
        <f t="shared" si="30"/>
        <v>219</v>
      </c>
      <c r="E338" s="1">
        <f t="shared" si="31"/>
        <v>291</v>
      </c>
      <c r="F338" s="1">
        <f t="shared" si="34"/>
        <v>64</v>
      </c>
      <c r="G338" s="1">
        <f t="shared" si="35"/>
        <v>10.5</v>
      </c>
      <c r="H338" s="18">
        <f t="shared" si="32"/>
        <v>5</v>
      </c>
      <c r="I338" s="1"/>
      <c r="J338" s="2"/>
    </row>
    <row r="339" spans="1:10" x14ac:dyDescent="0.3">
      <c r="A339" s="1">
        <v>338</v>
      </c>
      <c r="B339" s="2">
        <v>50</v>
      </c>
      <c r="C339" s="18">
        <f t="shared" si="33"/>
        <v>163</v>
      </c>
      <c r="D339" s="1">
        <f t="shared" si="30"/>
        <v>219.5</v>
      </c>
      <c r="E339" s="1">
        <f t="shared" si="31"/>
        <v>290.5</v>
      </c>
      <c r="F339" s="1">
        <f t="shared" si="34"/>
        <v>63.5</v>
      </c>
      <c r="G339" s="1">
        <f t="shared" si="35"/>
        <v>10</v>
      </c>
      <c r="H339" s="18">
        <f t="shared" si="32"/>
        <v>5</v>
      </c>
      <c r="I339" s="1"/>
      <c r="J339" s="2"/>
    </row>
    <row r="340" spans="1:10" x14ac:dyDescent="0.3">
      <c r="A340" s="1">
        <v>339</v>
      </c>
      <c r="B340" s="2">
        <v>54</v>
      </c>
      <c r="C340" s="18">
        <f t="shared" si="33"/>
        <v>167</v>
      </c>
      <c r="D340" s="1">
        <f t="shared" si="30"/>
        <v>220</v>
      </c>
      <c r="E340" s="1">
        <f t="shared" si="31"/>
        <v>290</v>
      </c>
      <c r="F340" s="1">
        <f t="shared" si="34"/>
        <v>67</v>
      </c>
      <c r="G340" s="1">
        <f t="shared" si="35"/>
        <v>5.5</v>
      </c>
      <c r="H340" s="18">
        <f t="shared" si="32"/>
        <v>5</v>
      </c>
      <c r="I340" s="1"/>
      <c r="J340" s="2"/>
    </row>
    <row r="341" spans="1:10" x14ac:dyDescent="0.3">
      <c r="A341" s="1">
        <v>340</v>
      </c>
      <c r="B341" s="2">
        <v>51</v>
      </c>
      <c r="C341" s="18">
        <f t="shared" si="33"/>
        <v>168</v>
      </c>
      <c r="D341" s="1">
        <f t="shared" si="30"/>
        <v>220.5</v>
      </c>
      <c r="E341" s="1">
        <f t="shared" si="31"/>
        <v>289.5</v>
      </c>
      <c r="F341" s="1">
        <f t="shared" si="34"/>
        <v>67.5</v>
      </c>
      <c r="G341" s="1">
        <f t="shared" si="35"/>
        <v>4</v>
      </c>
      <c r="H341" s="18">
        <f t="shared" si="32"/>
        <v>5</v>
      </c>
      <c r="I341" s="1"/>
      <c r="J341" s="2"/>
    </row>
    <row r="342" spans="1:10" x14ac:dyDescent="0.3">
      <c r="A342" s="1">
        <v>341</v>
      </c>
      <c r="B342" s="2">
        <v>46</v>
      </c>
      <c r="C342" s="18">
        <f t="shared" si="33"/>
        <v>164</v>
      </c>
      <c r="D342" s="1">
        <f t="shared" si="30"/>
        <v>221</v>
      </c>
      <c r="E342" s="1">
        <f t="shared" si="31"/>
        <v>289</v>
      </c>
      <c r="F342" s="1">
        <f t="shared" si="34"/>
        <v>63</v>
      </c>
      <c r="G342" s="1">
        <f t="shared" si="35"/>
        <v>7.5</v>
      </c>
      <c r="H342" s="18">
        <f t="shared" si="32"/>
        <v>5</v>
      </c>
      <c r="I342" s="1"/>
      <c r="J342" s="2"/>
    </row>
    <row r="343" spans="1:10" x14ac:dyDescent="0.3">
      <c r="A343" s="1">
        <v>342</v>
      </c>
      <c r="B343" s="2">
        <v>54</v>
      </c>
      <c r="C343" s="18">
        <f t="shared" si="33"/>
        <v>168</v>
      </c>
      <c r="D343" s="1">
        <f t="shared" si="30"/>
        <v>221.5</v>
      </c>
      <c r="E343" s="1">
        <f t="shared" si="31"/>
        <v>288.5</v>
      </c>
      <c r="F343" s="1">
        <f t="shared" si="34"/>
        <v>66.5</v>
      </c>
      <c r="G343" s="1">
        <f t="shared" si="35"/>
        <v>3</v>
      </c>
      <c r="H343" s="18">
        <f t="shared" si="32"/>
        <v>5</v>
      </c>
      <c r="I343" s="1"/>
      <c r="J343" s="2"/>
    </row>
    <row r="344" spans="1:10" x14ac:dyDescent="0.3">
      <c r="A344" s="1">
        <v>343</v>
      </c>
      <c r="B344" s="2">
        <v>52</v>
      </c>
      <c r="C344" s="18">
        <f t="shared" si="33"/>
        <v>170</v>
      </c>
      <c r="D344" s="1">
        <f t="shared" si="30"/>
        <v>222</v>
      </c>
      <c r="E344" s="1">
        <f t="shared" si="31"/>
        <v>288</v>
      </c>
      <c r="F344" s="1">
        <f t="shared" si="34"/>
        <v>68</v>
      </c>
      <c r="G344" s="1">
        <f t="shared" si="35"/>
        <v>0.5</v>
      </c>
      <c r="H344" s="18">
        <f t="shared" si="32"/>
        <v>5</v>
      </c>
      <c r="I344" s="1"/>
      <c r="J344" s="2"/>
    </row>
    <row r="345" spans="1:10" x14ac:dyDescent="0.3">
      <c r="A345" s="1">
        <v>344</v>
      </c>
      <c r="B345" s="2">
        <v>50</v>
      </c>
      <c r="C345" s="18">
        <f t="shared" si="33"/>
        <v>170</v>
      </c>
      <c r="D345" s="1">
        <f t="shared" si="30"/>
        <v>222.5</v>
      </c>
      <c r="E345" s="1">
        <f t="shared" si="31"/>
        <v>287.5</v>
      </c>
      <c r="F345" s="1">
        <f t="shared" si="34"/>
        <v>67.5</v>
      </c>
      <c r="G345" s="1">
        <f t="shared" si="35"/>
        <v>0</v>
      </c>
      <c r="H345" s="18">
        <f t="shared" si="32"/>
        <v>5</v>
      </c>
      <c r="I345" s="1"/>
      <c r="J345" s="2"/>
    </row>
    <row r="346" spans="1:10" x14ac:dyDescent="0.3">
      <c r="A346" s="1">
        <v>345</v>
      </c>
      <c r="B346" s="2">
        <v>49</v>
      </c>
      <c r="C346" s="18">
        <f t="shared" si="33"/>
        <v>169</v>
      </c>
      <c r="D346" s="1">
        <f t="shared" si="30"/>
        <v>223</v>
      </c>
      <c r="E346" s="1">
        <f t="shared" si="31"/>
        <v>287</v>
      </c>
      <c r="F346" s="1">
        <f t="shared" si="34"/>
        <v>66</v>
      </c>
      <c r="G346" s="1">
        <f t="shared" si="35"/>
        <v>0.5</v>
      </c>
      <c r="H346" s="18">
        <f t="shared" si="32"/>
        <v>5</v>
      </c>
      <c r="I346" s="1"/>
      <c r="J346" s="2"/>
    </row>
    <row r="347" spans="1:10" x14ac:dyDescent="0.3">
      <c r="A347" s="1">
        <v>346</v>
      </c>
      <c r="B347" s="2">
        <v>54</v>
      </c>
      <c r="C347" s="18">
        <f t="shared" si="33"/>
        <v>173</v>
      </c>
      <c r="D347" s="1">
        <f t="shared" si="30"/>
        <v>223.5</v>
      </c>
      <c r="E347" s="1">
        <f t="shared" si="31"/>
        <v>286.5</v>
      </c>
      <c r="F347" s="1">
        <f t="shared" si="34"/>
        <v>69.5</v>
      </c>
      <c r="G347" s="1">
        <f t="shared" si="35"/>
        <v>0</v>
      </c>
      <c r="H347" s="18">
        <f t="shared" si="32"/>
        <v>5</v>
      </c>
      <c r="I347" s="1"/>
      <c r="J347" s="2"/>
    </row>
    <row r="348" spans="1:10" x14ac:dyDescent="0.3">
      <c r="A348" s="1">
        <v>347</v>
      </c>
      <c r="B348" s="2">
        <v>48</v>
      </c>
      <c r="C348" s="18">
        <f t="shared" si="33"/>
        <v>171</v>
      </c>
      <c r="D348" s="1">
        <f t="shared" si="30"/>
        <v>224</v>
      </c>
      <c r="E348" s="1">
        <f t="shared" si="31"/>
        <v>286</v>
      </c>
      <c r="F348" s="1">
        <f t="shared" si="34"/>
        <v>67</v>
      </c>
      <c r="G348" s="1">
        <f t="shared" si="35"/>
        <v>1.5</v>
      </c>
      <c r="H348" s="18">
        <f t="shared" si="32"/>
        <v>5</v>
      </c>
      <c r="I348" s="1"/>
      <c r="J348" s="2"/>
    </row>
    <row r="349" spans="1:10" x14ac:dyDescent="0.3">
      <c r="A349" s="1">
        <v>348</v>
      </c>
      <c r="B349" s="2">
        <v>53</v>
      </c>
      <c r="C349" s="18">
        <f t="shared" si="33"/>
        <v>174</v>
      </c>
      <c r="D349" s="1">
        <f t="shared" si="30"/>
        <v>224.5</v>
      </c>
      <c r="E349" s="1">
        <f t="shared" si="31"/>
        <v>285.5</v>
      </c>
      <c r="F349" s="1">
        <f t="shared" si="34"/>
        <v>69.5</v>
      </c>
      <c r="G349" s="1">
        <f t="shared" si="35"/>
        <v>0</v>
      </c>
      <c r="H349" s="18">
        <f t="shared" si="32"/>
        <v>5</v>
      </c>
      <c r="I349" s="1"/>
      <c r="J349" s="2"/>
    </row>
    <row r="350" spans="1:10" x14ac:dyDescent="0.3">
      <c r="A350" s="1">
        <v>349</v>
      </c>
      <c r="B350" s="2">
        <v>47</v>
      </c>
      <c r="C350" s="18">
        <f t="shared" si="33"/>
        <v>171</v>
      </c>
      <c r="D350" s="1">
        <f t="shared" si="30"/>
        <v>225</v>
      </c>
      <c r="E350" s="1">
        <f t="shared" si="31"/>
        <v>285</v>
      </c>
      <c r="F350" s="1">
        <f t="shared" si="34"/>
        <v>66</v>
      </c>
      <c r="G350" s="1">
        <f t="shared" si="35"/>
        <v>2.5</v>
      </c>
      <c r="H350" s="18">
        <f t="shared" si="32"/>
        <v>5</v>
      </c>
      <c r="I350" s="1"/>
      <c r="J350" s="2"/>
    </row>
    <row r="351" spans="1:10" x14ac:dyDescent="0.3">
      <c r="A351" s="1">
        <v>350</v>
      </c>
      <c r="B351" s="2">
        <v>53</v>
      </c>
      <c r="C351" s="18">
        <f t="shared" si="33"/>
        <v>174</v>
      </c>
      <c r="D351" s="1">
        <f t="shared" si="30"/>
        <v>225.5</v>
      </c>
      <c r="E351" s="1">
        <f t="shared" si="31"/>
        <v>284.5</v>
      </c>
      <c r="F351" s="1">
        <f t="shared" si="34"/>
        <v>68.5</v>
      </c>
      <c r="G351" s="1">
        <f t="shared" si="35"/>
        <v>0</v>
      </c>
      <c r="H351" s="18">
        <f t="shared" si="32"/>
        <v>5</v>
      </c>
      <c r="I351" s="1"/>
      <c r="J351" s="2"/>
    </row>
    <row r="352" spans="1:10" x14ac:dyDescent="0.3">
      <c r="A352" s="1">
        <v>351</v>
      </c>
      <c r="B352" s="2">
        <v>57</v>
      </c>
      <c r="C352" s="18">
        <f t="shared" si="33"/>
        <v>181</v>
      </c>
      <c r="D352" s="1">
        <f t="shared" si="30"/>
        <v>226</v>
      </c>
      <c r="E352" s="1">
        <f t="shared" si="31"/>
        <v>284</v>
      </c>
      <c r="F352" s="1">
        <f t="shared" si="34"/>
        <v>75</v>
      </c>
      <c r="G352" s="1">
        <f t="shared" si="35"/>
        <v>0</v>
      </c>
      <c r="H352" s="18">
        <f t="shared" si="32"/>
        <v>5</v>
      </c>
      <c r="I352" s="1"/>
      <c r="J352" s="2"/>
    </row>
    <row r="353" spans="1:10" x14ac:dyDescent="0.3">
      <c r="A353" s="1">
        <v>352</v>
      </c>
      <c r="B353" s="2">
        <v>47</v>
      </c>
      <c r="C353" s="18">
        <f t="shared" si="33"/>
        <v>178</v>
      </c>
      <c r="D353" s="1">
        <f t="shared" si="30"/>
        <v>226.5</v>
      </c>
      <c r="E353" s="1">
        <f t="shared" si="31"/>
        <v>283.5</v>
      </c>
      <c r="F353" s="1">
        <f t="shared" si="34"/>
        <v>71.5</v>
      </c>
      <c r="G353" s="1">
        <f t="shared" si="35"/>
        <v>2.5</v>
      </c>
      <c r="H353" s="18">
        <f t="shared" si="32"/>
        <v>5</v>
      </c>
      <c r="I353" s="1"/>
      <c r="J353" s="2"/>
    </row>
    <row r="354" spans="1:10" x14ac:dyDescent="0.3">
      <c r="A354" s="1">
        <v>353</v>
      </c>
      <c r="B354" s="2">
        <v>53</v>
      </c>
      <c r="C354" s="18">
        <f t="shared" si="33"/>
        <v>181</v>
      </c>
      <c r="D354" s="1">
        <f t="shared" si="30"/>
        <v>227</v>
      </c>
      <c r="E354" s="1">
        <f t="shared" si="31"/>
        <v>283</v>
      </c>
      <c r="F354" s="1">
        <f t="shared" si="34"/>
        <v>74</v>
      </c>
      <c r="G354" s="1">
        <f t="shared" si="35"/>
        <v>0</v>
      </c>
      <c r="H354" s="18">
        <f t="shared" si="32"/>
        <v>5</v>
      </c>
      <c r="I354" s="1"/>
      <c r="J354" s="2"/>
    </row>
    <row r="355" spans="1:10" x14ac:dyDescent="0.3">
      <c r="A355" s="1">
        <v>354</v>
      </c>
      <c r="B355" s="2">
        <v>49</v>
      </c>
      <c r="C355" s="18">
        <f t="shared" si="33"/>
        <v>180</v>
      </c>
      <c r="D355" s="1">
        <f t="shared" si="30"/>
        <v>227.5</v>
      </c>
      <c r="E355" s="1">
        <f t="shared" si="31"/>
        <v>282.5</v>
      </c>
      <c r="F355" s="1">
        <f t="shared" si="34"/>
        <v>72.5</v>
      </c>
      <c r="G355" s="1">
        <f t="shared" si="35"/>
        <v>0.5</v>
      </c>
      <c r="H355" s="18">
        <f t="shared" si="32"/>
        <v>5</v>
      </c>
      <c r="I355" s="1"/>
      <c r="J355" s="2"/>
    </row>
    <row r="356" spans="1:10" x14ac:dyDescent="0.3">
      <c r="A356" s="1">
        <v>355</v>
      </c>
      <c r="B356" s="2">
        <v>49</v>
      </c>
      <c r="C356" s="18">
        <f t="shared" si="33"/>
        <v>179</v>
      </c>
      <c r="D356" s="1">
        <f t="shared" si="30"/>
        <v>228</v>
      </c>
      <c r="E356" s="1">
        <f t="shared" si="31"/>
        <v>282</v>
      </c>
      <c r="F356" s="1">
        <f t="shared" si="34"/>
        <v>71</v>
      </c>
      <c r="G356" s="1">
        <f t="shared" si="35"/>
        <v>1</v>
      </c>
      <c r="H356" s="18">
        <f t="shared" si="32"/>
        <v>5</v>
      </c>
      <c r="I356" s="1"/>
      <c r="J356" s="2"/>
    </row>
    <row r="357" spans="1:10" x14ac:dyDescent="0.3">
      <c r="A357" s="1">
        <v>356</v>
      </c>
      <c r="B357" s="2">
        <v>55</v>
      </c>
      <c r="C357" s="18">
        <f t="shared" si="33"/>
        <v>184</v>
      </c>
      <c r="D357" s="1">
        <f t="shared" si="30"/>
        <v>228.5</v>
      </c>
      <c r="E357" s="1">
        <f t="shared" si="31"/>
        <v>281.5</v>
      </c>
      <c r="F357" s="1">
        <f t="shared" si="34"/>
        <v>75.5</v>
      </c>
      <c r="G357" s="1">
        <f t="shared" si="35"/>
        <v>0</v>
      </c>
      <c r="H357" s="18">
        <f t="shared" si="32"/>
        <v>5</v>
      </c>
      <c r="I357" s="1"/>
      <c r="J357" s="2"/>
    </row>
    <row r="358" spans="1:10" x14ac:dyDescent="0.3">
      <c r="A358" s="1">
        <v>357</v>
      </c>
      <c r="B358" s="2">
        <v>53</v>
      </c>
      <c r="C358" s="18">
        <f t="shared" si="33"/>
        <v>187</v>
      </c>
      <c r="D358" s="1">
        <f t="shared" si="30"/>
        <v>229</v>
      </c>
      <c r="E358" s="1">
        <f t="shared" si="31"/>
        <v>281</v>
      </c>
      <c r="F358" s="1">
        <f t="shared" si="34"/>
        <v>78</v>
      </c>
      <c r="G358" s="1">
        <f t="shared" si="35"/>
        <v>0</v>
      </c>
      <c r="H358" s="18">
        <f t="shared" si="32"/>
        <v>5</v>
      </c>
      <c r="I358" s="1"/>
      <c r="J358" s="2"/>
    </row>
    <row r="359" spans="1:10" x14ac:dyDescent="0.3">
      <c r="A359" s="1">
        <v>358</v>
      </c>
      <c r="B359" s="2">
        <v>52</v>
      </c>
      <c r="C359" s="18">
        <f t="shared" si="33"/>
        <v>189</v>
      </c>
      <c r="D359" s="1">
        <f t="shared" si="30"/>
        <v>229.5</v>
      </c>
      <c r="E359" s="1">
        <f t="shared" si="31"/>
        <v>280.5</v>
      </c>
      <c r="F359" s="1">
        <f t="shared" si="34"/>
        <v>79.5</v>
      </c>
      <c r="G359" s="1">
        <f t="shared" si="35"/>
        <v>0</v>
      </c>
      <c r="H359" s="18">
        <f t="shared" si="32"/>
        <v>5</v>
      </c>
      <c r="I359" s="1"/>
      <c r="J359" s="2"/>
    </row>
    <row r="360" spans="1:10" x14ac:dyDescent="0.3">
      <c r="A360" s="1">
        <v>359</v>
      </c>
      <c r="B360" s="2">
        <v>52</v>
      </c>
      <c r="C360" s="18">
        <f t="shared" si="33"/>
        <v>191</v>
      </c>
      <c r="D360" s="1">
        <f t="shared" si="30"/>
        <v>230</v>
      </c>
      <c r="E360" s="1">
        <f t="shared" si="31"/>
        <v>280</v>
      </c>
      <c r="F360" s="1">
        <f t="shared" si="34"/>
        <v>81</v>
      </c>
      <c r="G360" s="1">
        <f t="shared" si="35"/>
        <v>0</v>
      </c>
      <c r="H360" s="18">
        <f t="shared" si="32"/>
        <v>5</v>
      </c>
      <c r="I360" s="1"/>
      <c r="J360" s="2"/>
    </row>
    <row r="361" spans="1:10" x14ac:dyDescent="0.3">
      <c r="A361" s="1">
        <v>360</v>
      </c>
      <c r="B361" s="2">
        <v>53</v>
      </c>
      <c r="C361" s="18">
        <f t="shared" si="33"/>
        <v>194</v>
      </c>
      <c r="D361" s="1">
        <f t="shared" si="30"/>
        <v>230.5</v>
      </c>
      <c r="E361" s="1">
        <f t="shared" si="31"/>
        <v>279.5</v>
      </c>
      <c r="F361" s="1">
        <f t="shared" si="34"/>
        <v>83.5</v>
      </c>
      <c r="G361" s="1">
        <f t="shared" si="35"/>
        <v>0</v>
      </c>
      <c r="H361" s="18">
        <f t="shared" si="32"/>
        <v>5</v>
      </c>
      <c r="I361" s="1"/>
      <c r="J361" s="2"/>
    </row>
    <row r="362" spans="1:10" x14ac:dyDescent="0.3">
      <c r="A362" s="1">
        <v>361</v>
      </c>
      <c r="B362" s="2">
        <v>55</v>
      </c>
      <c r="C362" s="18">
        <f t="shared" si="33"/>
        <v>199</v>
      </c>
      <c r="D362" s="1">
        <f t="shared" si="30"/>
        <v>231</v>
      </c>
      <c r="E362" s="1">
        <f t="shared" si="31"/>
        <v>279</v>
      </c>
      <c r="F362" s="1">
        <f t="shared" si="34"/>
        <v>88</v>
      </c>
      <c r="G362" s="1">
        <f t="shared" si="35"/>
        <v>0</v>
      </c>
      <c r="H362" s="18">
        <f t="shared" si="32"/>
        <v>5</v>
      </c>
      <c r="I362" s="1"/>
      <c r="J362" s="2"/>
    </row>
    <row r="363" spans="1:10" x14ac:dyDescent="0.3">
      <c r="A363" s="1">
        <v>362</v>
      </c>
      <c r="B363" s="2">
        <v>50</v>
      </c>
      <c r="C363" s="18">
        <f t="shared" si="33"/>
        <v>199</v>
      </c>
      <c r="D363" s="1">
        <f t="shared" si="30"/>
        <v>231.5</v>
      </c>
      <c r="E363" s="1">
        <f t="shared" si="31"/>
        <v>278.5</v>
      </c>
      <c r="F363" s="1">
        <f t="shared" si="34"/>
        <v>87.5</v>
      </c>
      <c r="G363" s="1">
        <f t="shared" si="35"/>
        <v>0</v>
      </c>
      <c r="H363" s="18">
        <f t="shared" si="32"/>
        <v>5</v>
      </c>
      <c r="I363" s="1"/>
      <c r="J363" s="2"/>
    </row>
    <row r="364" spans="1:10" x14ac:dyDescent="0.3">
      <c r="A364" s="1">
        <v>363</v>
      </c>
      <c r="B364" s="2">
        <v>55</v>
      </c>
      <c r="C364" s="18">
        <f t="shared" si="33"/>
        <v>204</v>
      </c>
      <c r="D364" s="1">
        <f t="shared" si="30"/>
        <v>232</v>
      </c>
      <c r="E364" s="1">
        <f t="shared" si="31"/>
        <v>278</v>
      </c>
      <c r="F364" s="1">
        <f t="shared" si="34"/>
        <v>92</v>
      </c>
      <c r="G364" s="1">
        <f t="shared" si="35"/>
        <v>0</v>
      </c>
      <c r="H364" s="18">
        <f t="shared" si="32"/>
        <v>5</v>
      </c>
      <c r="I364" s="1"/>
      <c r="J364" s="2"/>
    </row>
    <row r="365" spans="1:10" x14ac:dyDescent="0.3">
      <c r="A365" s="1">
        <v>364</v>
      </c>
      <c r="B365" s="2">
        <v>53</v>
      </c>
      <c r="C365" s="18">
        <f t="shared" si="33"/>
        <v>207</v>
      </c>
      <c r="D365" s="1">
        <f t="shared" si="30"/>
        <v>232.5</v>
      </c>
      <c r="E365" s="1">
        <f t="shared" si="31"/>
        <v>277.5</v>
      </c>
      <c r="F365" s="1">
        <f t="shared" si="34"/>
        <v>94.5</v>
      </c>
      <c r="G365" s="1">
        <f t="shared" si="35"/>
        <v>0</v>
      </c>
      <c r="H365" s="18">
        <f t="shared" si="32"/>
        <v>5</v>
      </c>
      <c r="I365" s="1"/>
      <c r="J365" s="2"/>
    </row>
    <row r="366" spans="1:10" x14ac:dyDescent="0.3">
      <c r="A366" s="1">
        <v>365</v>
      </c>
      <c r="B366" s="2">
        <v>51</v>
      </c>
      <c r="C366" s="18">
        <f t="shared" si="33"/>
        <v>208</v>
      </c>
      <c r="D366" s="1">
        <f t="shared" si="30"/>
        <v>233</v>
      </c>
      <c r="E366" s="1">
        <f t="shared" si="31"/>
        <v>277</v>
      </c>
      <c r="F366" s="1">
        <f t="shared" si="34"/>
        <v>95</v>
      </c>
      <c r="G366" s="1">
        <f t="shared" si="35"/>
        <v>0</v>
      </c>
      <c r="H366" s="18">
        <f t="shared" si="32"/>
        <v>5</v>
      </c>
      <c r="I366" s="1"/>
      <c r="J366" s="2"/>
    </row>
    <row r="367" spans="1:10" x14ac:dyDescent="0.3">
      <c r="A367" s="1">
        <v>366</v>
      </c>
      <c r="B367" s="2">
        <v>54</v>
      </c>
      <c r="C367" s="18">
        <f t="shared" si="33"/>
        <v>212</v>
      </c>
      <c r="D367" s="1">
        <f t="shared" si="30"/>
        <v>233.5</v>
      </c>
      <c r="E367" s="1">
        <f t="shared" si="31"/>
        <v>276.5</v>
      </c>
      <c r="F367" s="1">
        <f t="shared" si="34"/>
        <v>98.5</v>
      </c>
      <c r="G367" s="1">
        <f t="shared" si="35"/>
        <v>0</v>
      </c>
      <c r="H367" s="18">
        <f t="shared" si="32"/>
        <v>5</v>
      </c>
      <c r="I367" s="1"/>
      <c r="J367" s="2"/>
    </row>
    <row r="368" spans="1:10" x14ac:dyDescent="0.3">
      <c r="A368" s="1">
        <v>367</v>
      </c>
      <c r="B368" s="2">
        <v>51</v>
      </c>
      <c r="C368" s="18">
        <f t="shared" si="33"/>
        <v>213</v>
      </c>
      <c r="D368" s="1">
        <f t="shared" si="30"/>
        <v>234</v>
      </c>
      <c r="E368" s="1">
        <f t="shared" si="31"/>
        <v>276</v>
      </c>
      <c r="F368" s="1">
        <f t="shared" si="34"/>
        <v>99</v>
      </c>
      <c r="G368" s="1">
        <f t="shared" si="35"/>
        <v>0</v>
      </c>
      <c r="H368" s="18">
        <f t="shared" si="32"/>
        <v>5</v>
      </c>
      <c r="I368" s="1"/>
      <c r="J368" s="2"/>
    </row>
    <row r="369" spans="1:10" x14ac:dyDescent="0.3">
      <c r="A369" s="1">
        <v>368</v>
      </c>
      <c r="B369" s="2">
        <v>56</v>
      </c>
      <c r="C369" s="18">
        <f t="shared" si="33"/>
        <v>219</v>
      </c>
      <c r="D369" s="1">
        <f t="shared" si="30"/>
        <v>234.5</v>
      </c>
      <c r="E369" s="1">
        <f t="shared" si="31"/>
        <v>275.5</v>
      </c>
      <c r="F369" s="1">
        <f t="shared" si="34"/>
        <v>104.5</v>
      </c>
      <c r="G369" s="1">
        <f t="shared" si="35"/>
        <v>0</v>
      </c>
      <c r="H369" s="18">
        <f t="shared" si="32"/>
        <v>5</v>
      </c>
      <c r="I369" s="1"/>
      <c r="J369" s="2"/>
    </row>
    <row r="370" spans="1:10" x14ac:dyDescent="0.3">
      <c r="A370" s="1">
        <v>369</v>
      </c>
      <c r="B370" s="2">
        <v>50</v>
      </c>
      <c r="C370" s="18">
        <f t="shared" si="33"/>
        <v>219</v>
      </c>
      <c r="D370" s="1">
        <f t="shared" si="30"/>
        <v>235</v>
      </c>
      <c r="E370" s="1">
        <f t="shared" si="31"/>
        <v>275</v>
      </c>
      <c r="F370" s="1">
        <f t="shared" si="34"/>
        <v>104</v>
      </c>
      <c r="G370" s="1">
        <f t="shared" si="35"/>
        <v>0</v>
      </c>
      <c r="H370" s="18">
        <f t="shared" si="32"/>
        <v>5</v>
      </c>
      <c r="I370" s="1"/>
      <c r="J370" s="2"/>
    </row>
    <row r="371" spans="1:10" x14ac:dyDescent="0.3">
      <c r="A371" s="1">
        <v>370</v>
      </c>
      <c r="B371" s="2">
        <v>55</v>
      </c>
      <c r="C371" s="18">
        <f t="shared" si="33"/>
        <v>224</v>
      </c>
      <c r="D371" s="1">
        <f t="shared" si="30"/>
        <v>235.5</v>
      </c>
      <c r="E371" s="1">
        <f t="shared" si="31"/>
        <v>274.5</v>
      </c>
      <c r="F371" s="1">
        <f t="shared" si="34"/>
        <v>108.5</v>
      </c>
      <c r="G371" s="1">
        <f t="shared" si="35"/>
        <v>0</v>
      </c>
      <c r="H371" s="18">
        <f t="shared" si="32"/>
        <v>5</v>
      </c>
      <c r="I371" s="1"/>
      <c r="J371" s="2"/>
    </row>
    <row r="372" spans="1:10" x14ac:dyDescent="0.3">
      <c r="A372" s="1">
        <v>371</v>
      </c>
      <c r="B372" s="2">
        <v>56</v>
      </c>
      <c r="C372" s="18">
        <f t="shared" si="33"/>
        <v>230</v>
      </c>
      <c r="D372" s="1">
        <f t="shared" si="30"/>
        <v>236</v>
      </c>
      <c r="E372" s="1">
        <f t="shared" si="31"/>
        <v>274</v>
      </c>
      <c r="F372" s="1">
        <f t="shared" si="34"/>
        <v>114</v>
      </c>
      <c r="G372" s="1">
        <f t="shared" si="35"/>
        <v>0</v>
      </c>
      <c r="H372" s="18">
        <f t="shared" si="32"/>
        <v>5</v>
      </c>
      <c r="I372" s="1"/>
      <c r="J372" s="2"/>
    </row>
    <row r="373" spans="1:10" x14ac:dyDescent="0.3">
      <c r="A373" s="1">
        <v>372</v>
      </c>
      <c r="B373" s="2">
        <v>56</v>
      </c>
      <c r="C373" s="18">
        <f t="shared" si="33"/>
        <v>236</v>
      </c>
      <c r="D373" s="1">
        <f t="shared" si="30"/>
        <v>236.5</v>
      </c>
      <c r="E373" s="1">
        <f t="shared" si="31"/>
        <v>273.5</v>
      </c>
      <c r="F373" s="1">
        <f t="shared" si="34"/>
        <v>119.5</v>
      </c>
      <c r="G373" s="1">
        <f t="shared" si="35"/>
        <v>0</v>
      </c>
      <c r="H373" s="18">
        <f t="shared" si="32"/>
        <v>5</v>
      </c>
      <c r="I373" s="1"/>
      <c r="J373" s="2"/>
    </row>
    <row r="374" spans="1:10" x14ac:dyDescent="0.3">
      <c r="A374" s="1">
        <v>373</v>
      </c>
      <c r="B374" s="2">
        <v>54</v>
      </c>
      <c r="C374" s="18">
        <f t="shared" si="33"/>
        <v>240</v>
      </c>
      <c r="D374" s="1">
        <f t="shared" si="30"/>
        <v>237</v>
      </c>
      <c r="E374" s="1">
        <f t="shared" si="31"/>
        <v>273</v>
      </c>
      <c r="F374" s="1">
        <f t="shared" si="34"/>
        <v>123</v>
      </c>
      <c r="G374" s="1">
        <f t="shared" si="35"/>
        <v>0</v>
      </c>
      <c r="H374" s="18">
        <f t="shared" si="32"/>
        <v>5</v>
      </c>
      <c r="I374" s="1"/>
      <c r="J374" s="2"/>
    </row>
    <row r="375" spans="1:10" x14ac:dyDescent="0.3">
      <c r="A375" s="1">
        <v>374</v>
      </c>
      <c r="B375" s="2">
        <v>51</v>
      </c>
      <c r="C375" s="18">
        <f t="shared" si="33"/>
        <v>241</v>
      </c>
      <c r="D375" s="1">
        <f t="shared" si="30"/>
        <v>237.5</v>
      </c>
      <c r="E375" s="1">
        <f t="shared" si="31"/>
        <v>272.5</v>
      </c>
      <c r="F375" s="1">
        <f t="shared" si="34"/>
        <v>123.5</v>
      </c>
      <c r="G375" s="1">
        <f t="shared" si="35"/>
        <v>0</v>
      </c>
      <c r="H375" s="18">
        <f t="shared" si="32"/>
        <v>5</v>
      </c>
      <c r="I375" s="1"/>
      <c r="J375" s="2"/>
    </row>
    <row r="376" spans="1:10" x14ac:dyDescent="0.3">
      <c r="A376" s="1">
        <v>375</v>
      </c>
      <c r="B376" s="2">
        <v>52</v>
      </c>
      <c r="C376" s="18">
        <f t="shared" si="33"/>
        <v>243</v>
      </c>
      <c r="D376" s="1">
        <f t="shared" si="30"/>
        <v>238</v>
      </c>
      <c r="E376" s="1">
        <f t="shared" si="31"/>
        <v>272</v>
      </c>
      <c r="F376" s="1">
        <f t="shared" si="34"/>
        <v>125</v>
      </c>
      <c r="G376" s="1">
        <f t="shared" si="35"/>
        <v>0</v>
      </c>
      <c r="H376" s="18">
        <f t="shared" si="32"/>
        <v>5</v>
      </c>
      <c r="I376" s="1"/>
      <c r="J376" s="2"/>
    </row>
    <row r="377" spans="1:10" x14ac:dyDescent="0.3">
      <c r="A377" s="1">
        <v>376</v>
      </c>
      <c r="B377" s="2">
        <v>49</v>
      </c>
      <c r="C377" s="18">
        <f t="shared" si="33"/>
        <v>242</v>
      </c>
      <c r="D377" s="1">
        <f t="shared" si="30"/>
        <v>238.5</v>
      </c>
      <c r="E377" s="1">
        <f t="shared" si="31"/>
        <v>271.5</v>
      </c>
      <c r="F377" s="1">
        <f t="shared" si="34"/>
        <v>123.5</v>
      </c>
      <c r="G377" s="1">
        <f t="shared" si="35"/>
        <v>0.5</v>
      </c>
      <c r="H377" s="18">
        <f t="shared" si="32"/>
        <v>5</v>
      </c>
      <c r="I377" s="1"/>
      <c r="J377" s="2"/>
    </row>
    <row r="378" spans="1:10" x14ac:dyDescent="0.3">
      <c r="A378" s="1">
        <v>377</v>
      </c>
      <c r="B378" s="2">
        <v>45</v>
      </c>
      <c r="C378" s="18">
        <f t="shared" si="33"/>
        <v>237</v>
      </c>
      <c r="D378" s="1">
        <f t="shared" si="30"/>
        <v>239</v>
      </c>
      <c r="E378" s="1">
        <f t="shared" si="31"/>
        <v>271</v>
      </c>
      <c r="F378" s="1">
        <f t="shared" si="34"/>
        <v>118</v>
      </c>
      <c r="G378" s="1">
        <f t="shared" si="35"/>
        <v>5</v>
      </c>
      <c r="H378" s="18">
        <f t="shared" si="32"/>
        <v>5</v>
      </c>
      <c r="I378" s="1"/>
      <c r="J378" s="2"/>
    </row>
    <row r="379" spans="1:10" x14ac:dyDescent="0.3">
      <c r="A379" s="1">
        <v>378</v>
      </c>
      <c r="B379" s="2">
        <v>52</v>
      </c>
      <c r="C379" s="18">
        <f t="shared" si="33"/>
        <v>239</v>
      </c>
      <c r="D379" s="1">
        <f t="shared" si="30"/>
        <v>239.5</v>
      </c>
      <c r="E379" s="1">
        <f t="shared" si="31"/>
        <v>270.5</v>
      </c>
      <c r="F379" s="1">
        <f t="shared" si="34"/>
        <v>119.5</v>
      </c>
      <c r="G379" s="1">
        <f t="shared" si="35"/>
        <v>2.5</v>
      </c>
      <c r="H379" s="18">
        <f t="shared" si="32"/>
        <v>5</v>
      </c>
      <c r="I379" s="1"/>
      <c r="J379" s="2"/>
    </row>
    <row r="380" spans="1:10" x14ac:dyDescent="0.3">
      <c r="A380" s="1">
        <v>379</v>
      </c>
      <c r="B380" s="2">
        <v>57</v>
      </c>
      <c r="C380" s="18">
        <f t="shared" si="33"/>
        <v>246</v>
      </c>
      <c r="D380" s="1">
        <f t="shared" si="30"/>
        <v>240</v>
      </c>
      <c r="E380" s="1">
        <f t="shared" si="31"/>
        <v>270</v>
      </c>
      <c r="F380" s="1">
        <f t="shared" si="34"/>
        <v>126</v>
      </c>
      <c r="G380" s="1">
        <f t="shared" si="35"/>
        <v>0</v>
      </c>
      <c r="H380" s="18">
        <f t="shared" si="32"/>
        <v>5</v>
      </c>
      <c r="I380" s="1"/>
      <c r="J380" s="2"/>
    </row>
    <row r="381" spans="1:10" x14ac:dyDescent="0.3">
      <c r="A381" s="1">
        <v>380</v>
      </c>
      <c r="B381" s="2">
        <v>49</v>
      </c>
      <c r="C381" s="18">
        <f t="shared" si="33"/>
        <v>245</v>
      </c>
      <c r="D381" s="1">
        <f t="shared" si="30"/>
        <v>240.5</v>
      </c>
      <c r="E381" s="1">
        <f t="shared" si="31"/>
        <v>269.5</v>
      </c>
      <c r="F381" s="1">
        <f t="shared" si="34"/>
        <v>124.5</v>
      </c>
      <c r="G381" s="1">
        <f t="shared" si="35"/>
        <v>0.5</v>
      </c>
      <c r="H381" s="18">
        <f t="shared" si="32"/>
        <v>5</v>
      </c>
      <c r="I381" s="1"/>
      <c r="J381" s="2"/>
    </row>
    <row r="382" spans="1:10" x14ac:dyDescent="0.3">
      <c r="A382" s="1">
        <v>381</v>
      </c>
      <c r="B382" s="2">
        <v>45</v>
      </c>
      <c r="C382" s="18">
        <f t="shared" si="33"/>
        <v>240</v>
      </c>
      <c r="D382" s="1">
        <f t="shared" si="30"/>
        <v>241</v>
      </c>
      <c r="E382" s="1">
        <f t="shared" si="31"/>
        <v>269</v>
      </c>
      <c r="F382" s="1">
        <f t="shared" si="34"/>
        <v>119</v>
      </c>
      <c r="G382" s="1">
        <f t="shared" si="35"/>
        <v>5</v>
      </c>
      <c r="H382" s="18">
        <f t="shared" si="32"/>
        <v>5</v>
      </c>
      <c r="I382" s="1"/>
      <c r="J382" s="2"/>
    </row>
    <row r="383" spans="1:10" x14ac:dyDescent="0.3">
      <c r="A383" s="1">
        <v>382</v>
      </c>
      <c r="B383" s="2">
        <v>54</v>
      </c>
      <c r="C383" s="18">
        <f t="shared" si="33"/>
        <v>244</v>
      </c>
      <c r="D383" s="1">
        <f t="shared" si="30"/>
        <v>241.5</v>
      </c>
      <c r="E383" s="1">
        <f t="shared" si="31"/>
        <v>268.5</v>
      </c>
      <c r="F383" s="1">
        <f t="shared" si="34"/>
        <v>122.5</v>
      </c>
      <c r="G383" s="1">
        <f t="shared" si="35"/>
        <v>0.5</v>
      </c>
      <c r="H383" s="18">
        <f t="shared" si="32"/>
        <v>5</v>
      </c>
      <c r="I383" s="1"/>
      <c r="J383" s="2"/>
    </row>
    <row r="384" spans="1:10" x14ac:dyDescent="0.3">
      <c r="A384" s="1">
        <v>383</v>
      </c>
      <c r="B384" s="2">
        <v>58</v>
      </c>
      <c r="C384" s="18">
        <f t="shared" si="33"/>
        <v>252</v>
      </c>
      <c r="D384" s="1">
        <f t="shared" si="30"/>
        <v>242</v>
      </c>
      <c r="E384" s="1">
        <f t="shared" si="31"/>
        <v>268</v>
      </c>
      <c r="F384" s="1">
        <f t="shared" si="34"/>
        <v>130</v>
      </c>
      <c r="G384" s="1">
        <f t="shared" si="35"/>
        <v>0</v>
      </c>
      <c r="H384" s="18">
        <f t="shared" si="32"/>
        <v>5</v>
      </c>
      <c r="I384" s="1"/>
      <c r="J384" s="2"/>
    </row>
    <row r="385" spans="1:10" x14ac:dyDescent="0.3">
      <c r="A385" s="1">
        <v>384</v>
      </c>
      <c r="B385" s="2">
        <v>49</v>
      </c>
      <c r="C385" s="18">
        <f t="shared" si="33"/>
        <v>251</v>
      </c>
      <c r="D385" s="1">
        <f t="shared" si="30"/>
        <v>242.5</v>
      </c>
      <c r="E385" s="1">
        <f t="shared" si="31"/>
        <v>267.5</v>
      </c>
      <c r="F385" s="1">
        <f t="shared" si="34"/>
        <v>128.5</v>
      </c>
      <c r="G385" s="1">
        <f t="shared" si="35"/>
        <v>0.5</v>
      </c>
      <c r="H385" s="18">
        <f t="shared" si="32"/>
        <v>5</v>
      </c>
      <c r="I385" s="1"/>
      <c r="J385" s="2"/>
    </row>
    <row r="386" spans="1:10" x14ac:dyDescent="0.3">
      <c r="A386" s="1">
        <v>385</v>
      </c>
      <c r="B386" s="2">
        <v>49</v>
      </c>
      <c r="C386" s="18">
        <f t="shared" si="33"/>
        <v>250</v>
      </c>
      <c r="D386" s="1">
        <f t="shared" ref="D386:D398" si="36">D387-$M$2</f>
        <v>243</v>
      </c>
      <c r="E386" s="1">
        <f t="shared" ref="E386:E398" si="37">E387+$M$2</f>
        <v>267</v>
      </c>
      <c r="F386" s="1">
        <f t="shared" si="34"/>
        <v>127</v>
      </c>
      <c r="G386" s="1">
        <f t="shared" si="35"/>
        <v>1</v>
      </c>
      <c r="H386" s="18">
        <f t="shared" si="32"/>
        <v>5</v>
      </c>
      <c r="I386" s="1"/>
      <c r="J386" s="2"/>
    </row>
    <row r="387" spans="1:10" x14ac:dyDescent="0.3">
      <c r="A387" s="1">
        <v>386</v>
      </c>
      <c r="B387" s="2">
        <v>46</v>
      </c>
      <c r="C387" s="18">
        <f t="shared" si="33"/>
        <v>246</v>
      </c>
      <c r="D387" s="1">
        <f t="shared" si="36"/>
        <v>243.5</v>
      </c>
      <c r="E387" s="1">
        <f t="shared" si="37"/>
        <v>266.5</v>
      </c>
      <c r="F387" s="1">
        <f t="shared" si="34"/>
        <v>122.5</v>
      </c>
      <c r="G387" s="1">
        <f t="shared" si="35"/>
        <v>4.5</v>
      </c>
      <c r="H387" s="18">
        <f t="shared" ref="H387:H400" si="38">$O$2</f>
        <v>5</v>
      </c>
      <c r="I387" s="1"/>
      <c r="J387" s="2"/>
    </row>
    <row r="388" spans="1:10" x14ac:dyDescent="0.3">
      <c r="A388" s="1">
        <v>387</v>
      </c>
      <c r="B388" s="2">
        <v>49</v>
      </c>
      <c r="C388" s="18">
        <f t="shared" ref="C388:C400" si="39">B388-L$2+C387</f>
        <v>245</v>
      </c>
      <c r="D388" s="1">
        <f t="shared" si="36"/>
        <v>244</v>
      </c>
      <c r="E388" s="1">
        <f t="shared" si="37"/>
        <v>266</v>
      </c>
      <c r="F388" s="1">
        <f t="shared" ref="F388:F400" si="40">MAX(0,B388-$L$2-$M$2+F387)</f>
        <v>121</v>
      </c>
      <c r="G388" s="1">
        <f t="shared" ref="G388:G400" si="41">MAX(0,$L$2-B388-$M$2+G387)</f>
        <v>5</v>
      </c>
      <c r="H388" s="18">
        <f t="shared" si="38"/>
        <v>5</v>
      </c>
      <c r="I388" s="1"/>
      <c r="J388" s="2"/>
    </row>
    <row r="389" spans="1:10" x14ac:dyDescent="0.3">
      <c r="A389" s="1">
        <v>388</v>
      </c>
      <c r="B389" s="2">
        <v>53</v>
      </c>
      <c r="C389" s="18">
        <f t="shared" si="39"/>
        <v>248</v>
      </c>
      <c r="D389" s="1">
        <f t="shared" si="36"/>
        <v>244.5</v>
      </c>
      <c r="E389" s="1">
        <f t="shared" si="37"/>
        <v>265.5</v>
      </c>
      <c r="F389" s="1">
        <f t="shared" si="40"/>
        <v>123.5</v>
      </c>
      <c r="G389" s="1">
        <f t="shared" si="41"/>
        <v>1.5</v>
      </c>
      <c r="H389" s="18">
        <f t="shared" si="38"/>
        <v>5</v>
      </c>
      <c r="I389" s="1"/>
      <c r="J389" s="2"/>
    </row>
    <row r="390" spans="1:10" x14ac:dyDescent="0.3">
      <c r="A390" s="1">
        <v>389</v>
      </c>
      <c r="B390" s="2">
        <v>54</v>
      </c>
      <c r="C390" s="18">
        <f t="shared" si="39"/>
        <v>252</v>
      </c>
      <c r="D390" s="1">
        <f t="shared" si="36"/>
        <v>245</v>
      </c>
      <c r="E390" s="1">
        <f t="shared" si="37"/>
        <v>265</v>
      </c>
      <c r="F390" s="1">
        <f t="shared" si="40"/>
        <v>127</v>
      </c>
      <c r="G390" s="1">
        <f t="shared" si="41"/>
        <v>0</v>
      </c>
      <c r="H390" s="18">
        <f t="shared" si="38"/>
        <v>5</v>
      </c>
      <c r="I390" s="1"/>
      <c r="J390" s="2"/>
    </row>
    <row r="391" spans="1:10" x14ac:dyDescent="0.3">
      <c r="A391" s="1">
        <v>390</v>
      </c>
      <c r="B391" s="2">
        <v>47</v>
      </c>
      <c r="C391" s="18">
        <f t="shared" si="39"/>
        <v>249</v>
      </c>
      <c r="D391" s="1">
        <f t="shared" si="36"/>
        <v>245.5</v>
      </c>
      <c r="E391" s="1">
        <f t="shared" si="37"/>
        <v>264.5</v>
      </c>
      <c r="F391" s="1">
        <f t="shared" si="40"/>
        <v>123.5</v>
      </c>
      <c r="G391" s="1">
        <f t="shared" si="41"/>
        <v>2.5</v>
      </c>
      <c r="H391" s="18">
        <f t="shared" si="38"/>
        <v>5</v>
      </c>
      <c r="I391" s="1"/>
      <c r="J391" s="2"/>
    </row>
    <row r="392" spans="1:10" x14ac:dyDescent="0.3">
      <c r="A392" s="1">
        <v>391</v>
      </c>
      <c r="B392" s="2">
        <v>53</v>
      </c>
      <c r="C392" s="18">
        <f t="shared" si="39"/>
        <v>252</v>
      </c>
      <c r="D392" s="1">
        <f t="shared" si="36"/>
        <v>246</v>
      </c>
      <c r="E392" s="1">
        <f t="shared" si="37"/>
        <v>264</v>
      </c>
      <c r="F392" s="1">
        <f t="shared" si="40"/>
        <v>126</v>
      </c>
      <c r="G392" s="1">
        <f t="shared" si="41"/>
        <v>0</v>
      </c>
      <c r="H392" s="18">
        <f t="shared" si="38"/>
        <v>5</v>
      </c>
      <c r="I392" s="1"/>
      <c r="J392" s="2"/>
    </row>
    <row r="393" spans="1:10" x14ac:dyDescent="0.3">
      <c r="A393" s="1">
        <v>392</v>
      </c>
      <c r="B393" s="2">
        <v>49</v>
      </c>
      <c r="C393" s="18">
        <f t="shared" si="39"/>
        <v>251</v>
      </c>
      <c r="D393" s="1">
        <f t="shared" si="36"/>
        <v>246.5</v>
      </c>
      <c r="E393" s="1">
        <f t="shared" si="37"/>
        <v>263.5</v>
      </c>
      <c r="F393" s="1">
        <f t="shared" si="40"/>
        <v>124.5</v>
      </c>
      <c r="G393" s="1">
        <f t="shared" si="41"/>
        <v>0.5</v>
      </c>
      <c r="H393" s="18">
        <f t="shared" si="38"/>
        <v>5</v>
      </c>
      <c r="I393" s="1"/>
      <c r="J393" s="2"/>
    </row>
    <row r="394" spans="1:10" x14ac:dyDescent="0.3">
      <c r="A394" s="1">
        <v>393</v>
      </c>
      <c r="B394" s="2">
        <v>48</v>
      </c>
      <c r="C394" s="18">
        <f t="shared" si="39"/>
        <v>249</v>
      </c>
      <c r="D394" s="1">
        <f t="shared" si="36"/>
        <v>247</v>
      </c>
      <c r="E394" s="1">
        <f t="shared" si="37"/>
        <v>263</v>
      </c>
      <c r="F394" s="1">
        <f t="shared" si="40"/>
        <v>122</v>
      </c>
      <c r="G394" s="1">
        <f t="shared" si="41"/>
        <v>2</v>
      </c>
      <c r="H394" s="18">
        <f t="shared" si="38"/>
        <v>5</v>
      </c>
      <c r="I394" s="1"/>
      <c r="J394" s="2"/>
    </row>
    <row r="395" spans="1:10" x14ac:dyDescent="0.3">
      <c r="A395" s="1">
        <v>394</v>
      </c>
      <c r="B395" s="2">
        <v>57</v>
      </c>
      <c r="C395" s="18">
        <f t="shared" si="39"/>
        <v>256</v>
      </c>
      <c r="D395" s="1">
        <f t="shared" si="36"/>
        <v>247.5</v>
      </c>
      <c r="E395" s="1">
        <f t="shared" si="37"/>
        <v>262.5</v>
      </c>
      <c r="F395" s="1">
        <f t="shared" si="40"/>
        <v>128.5</v>
      </c>
      <c r="G395" s="1">
        <f t="shared" si="41"/>
        <v>0</v>
      </c>
      <c r="H395" s="18">
        <f t="shared" si="38"/>
        <v>5</v>
      </c>
      <c r="I395" s="1"/>
      <c r="J395" s="2"/>
    </row>
    <row r="396" spans="1:10" x14ac:dyDescent="0.3">
      <c r="A396" s="1">
        <v>395</v>
      </c>
      <c r="B396" s="2">
        <v>53</v>
      </c>
      <c r="C396" s="18">
        <f t="shared" si="39"/>
        <v>259</v>
      </c>
      <c r="D396" s="1">
        <f t="shared" si="36"/>
        <v>248</v>
      </c>
      <c r="E396" s="1">
        <f t="shared" si="37"/>
        <v>262</v>
      </c>
      <c r="F396" s="1">
        <f t="shared" si="40"/>
        <v>131</v>
      </c>
      <c r="G396" s="1">
        <f t="shared" si="41"/>
        <v>0</v>
      </c>
      <c r="H396" s="18">
        <f t="shared" si="38"/>
        <v>5</v>
      </c>
      <c r="I396" s="1"/>
      <c r="J396" s="2"/>
    </row>
    <row r="397" spans="1:10" x14ac:dyDescent="0.3">
      <c r="A397" s="1">
        <v>396</v>
      </c>
      <c r="B397" s="2">
        <v>51</v>
      </c>
      <c r="C397" s="18">
        <f t="shared" si="39"/>
        <v>260</v>
      </c>
      <c r="D397" s="1">
        <f t="shared" si="36"/>
        <v>248.5</v>
      </c>
      <c r="E397" s="1">
        <f t="shared" si="37"/>
        <v>261.5</v>
      </c>
      <c r="F397" s="1">
        <f t="shared" si="40"/>
        <v>131.5</v>
      </c>
      <c r="G397" s="1">
        <f t="shared" si="41"/>
        <v>0</v>
      </c>
      <c r="H397" s="18">
        <f t="shared" si="38"/>
        <v>5</v>
      </c>
      <c r="I397" s="1"/>
      <c r="J397" s="2"/>
    </row>
    <row r="398" spans="1:10" x14ac:dyDescent="0.3">
      <c r="A398" s="1">
        <v>397</v>
      </c>
      <c r="B398" s="2">
        <v>45</v>
      </c>
      <c r="C398" s="18">
        <f t="shared" si="39"/>
        <v>255</v>
      </c>
      <c r="D398" s="1">
        <f t="shared" si="36"/>
        <v>249</v>
      </c>
      <c r="E398" s="1">
        <f t="shared" si="37"/>
        <v>261</v>
      </c>
      <c r="F398" s="1">
        <f t="shared" si="40"/>
        <v>126</v>
      </c>
      <c r="G398" s="1">
        <f t="shared" si="41"/>
        <v>4.5</v>
      </c>
      <c r="H398" s="18">
        <f t="shared" si="38"/>
        <v>5</v>
      </c>
      <c r="I398" s="1"/>
      <c r="J398" s="2"/>
    </row>
    <row r="399" spans="1:10" x14ac:dyDescent="0.3">
      <c r="A399" s="1">
        <v>398</v>
      </c>
      <c r="B399" s="2">
        <v>53</v>
      </c>
      <c r="C399" s="18">
        <f t="shared" si="39"/>
        <v>258</v>
      </c>
      <c r="D399" s="1">
        <f>D400-$M$2</f>
        <v>249.5</v>
      </c>
      <c r="E399" s="1">
        <f>E400+$M$2</f>
        <v>260.5</v>
      </c>
      <c r="F399" s="1">
        <f t="shared" si="40"/>
        <v>128.5</v>
      </c>
      <c r="G399" s="1">
        <f t="shared" si="41"/>
        <v>1</v>
      </c>
      <c r="H399" s="18">
        <f t="shared" si="38"/>
        <v>5</v>
      </c>
      <c r="I399" s="1"/>
      <c r="J399" s="2"/>
    </row>
    <row r="400" spans="1:10" ht="16.2" thickBot="1" x14ac:dyDescent="0.35">
      <c r="A400" s="4">
        <v>399</v>
      </c>
      <c r="B400" s="5">
        <v>47</v>
      </c>
      <c r="C400" s="18">
        <f t="shared" si="39"/>
        <v>255</v>
      </c>
      <c r="D400" s="4">
        <f>C400-$O$2</f>
        <v>250</v>
      </c>
      <c r="E400" s="4">
        <f>C400+$O$2</f>
        <v>260</v>
      </c>
      <c r="F400" s="1">
        <f t="shared" si="40"/>
        <v>125</v>
      </c>
      <c r="G400" s="1">
        <f t="shared" si="41"/>
        <v>3.5</v>
      </c>
      <c r="H400" s="18">
        <f t="shared" si="38"/>
        <v>5</v>
      </c>
      <c r="I400" s="4"/>
      <c r="J400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84A6-1337-6340-84D5-3D2E74655B5B}">
  <dimension ref="A1:P201"/>
  <sheetViews>
    <sheetView topLeftCell="A170" zoomScale="80" workbookViewId="0">
      <selection activeCell="L182" sqref="L182"/>
    </sheetView>
  </sheetViews>
  <sheetFormatPr baseColWidth="10" defaultRowHeight="15.6" x14ac:dyDescent="0.3"/>
  <cols>
    <col min="11" max="11" width="10.796875"/>
  </cols>
  <sheetData>
    <row r="1" spans="1:16" ht="18.600000000000001" customHeight="1" thickBot="1" x14ac:dyDescent="0.35">
      <c r="A1" s="11" t="s">
        <v>1</v>
      </c>
      <c r="B1" s="12" t="s">
        <v>2</v>
      </c>
      <c r="C1" s="17" t="s">
        <v>4</v>
      </c>
      <c r="D1" s="11" t="s">
        <v>16</v>
      </c>
      <c r="E1" s="12" t="s">
        <v>17</v>
      </c>
      <c r="F1" s="11" t="s">
        <v>5</v>
      </c>
      <c r="G1" s="12" t="s">
        <v>6</v>
      </c>
      <c r="H1" s="17" t="s">
        <v>18</v>
      </c>
      <c r="I1" s="11" t="s">
        <v>7</v>
      </c>
      <c r="J1" s="12" t="s">
        <v>8</v>
      </c>
      <c r="L1" s="17" t="s">
        <v>13</v>
      </c>
      <c r="M1" s="17" t="s">
        <v>10</v>
      </c>
      <c r="N1" s="17" t="s">
        <v>15</v>
      </c>
      <c r="O1" s="17" t="s">
        <v>14</v>
      </c>
      <c r="P1" s="17" t="s">
        <v>3</v>
      </c>
    </row>
    <row r="2" spans="1:16" ht="16.2" thickBot="1" x14ac:dyDescent="0.35">
      <c r="A2" s="1">
        <v>1</v>
      </c>
      <c r="B2" s="2">
        <f ca="1">AVERAGE(OFFSET('n=1'!$B$1,(ROW()-2)*$P$2+1,0,$P$2,1))</f>
        <v>51</v>
      </c>
      <c r="C2" s="15">
        <f ca="1">B2-L2</f>
        <v>1</v>
      </c>
      <c r="D2" s="1">
        <f ca="1">D3-$M$2</f>
        <v>21.5</v>
      </c>
      <c r="E2" s="1">
        <f t="shared" ref="E2:E65" ca="1" si="0">E3+$M$2</f>
        <v>230.5</v>
      </c>
      <c r="F2" s="13">
        <f ca="1">MAX(0,B2-L2-M2)</f>
        <v>0.5</v>
      </c>
      <c r="G2" s="13">
        <f ca="1">MAX(0,B2-L2-M2)</f>
        <v>0.5</v>
      </c>
      <c r="H2" s="15">
        <f>$O$2</f>
        <v>5</v>
      </c>
      <c r="I2" s="13"/>
      <c r="J2" s="14"/>
      <c r="L2" s="17">
        <v>50</v>
      </c>
      <c r="M2" s="16">
        <f>1/2</f>
        <v>0.5</v>
      </c>
      <c r="N2" s="16">
        <v>1</v>
      </c>
      <c r="O2" s="16">
        <f>N2*5</f>
        <v>5</v>
      </c>
      <c r="P2" s="16">
        <v>2</v>
      </c>
    </row>
    <row r="3" spans="1:16" ht="16.2" thickBot="1" x14ac:dyDescent="0.35">
      <c r="A3" s="1">
        <v>2</v>
      </c>
      <c r="B3" s="2">
        <f ca="1">AVERAGE(OFFSET('n=1'!$B$1,(ROW()-2)*$P$2+1,0,$P$2,1))</f>
        <v>51</v>
      </c>
      <c r="C3" s="18">
        <f ca="1">B3-$L$2+C2</f>
        <v>2</v>
      </c>
      <c r="D3" s="1">
        <f t="shared" ref="D2:D65" ca="1" si="1">D4-$M$2</f>
        <v>22</v>
      </c>
      <c r="E3" s="1">
        <f t="shared" ca="1" si="0"/>
        <v>230</v>
      </c>
      <c r="F3" s="1">
        <f ca="1">MAX(0,B3-$L$2-$M$2+F2)</f>
        <v>1</v>
      </c>
      <c r="G3" s="1">
        <f ca="1">MAX(0,$L$2-B3-$M$2+G2)</f>
        <v>0</v>
      </c>
      <c r="H3" s="15">
        <f t="shared" ref="H3:H66" si="2">$O$2</f>
        <v>5</v>
      </c>
      <c r="I3" s="1"/>
      <c r="J3" s="2"/>
    </row>
    <row r="4" spans="1:16" ht="16.2" thickBot="1" x14ac:dyDescent="0.35">
      <c r="A4" s="1">
        <v>3</v>
      </c>
      <c r="B4" s="2">
        <f ca="1">AVERAGE(OFFSET('n=1'!$B$1,(ROW()-2)*$P$2+1,0,$P$2,1))</f>
        <v>51</v>
      </c>
      <c r="C4" s="18">
        <f t="shared" ref="C4:C67" ca="1" si="3">B4-$L$2+C3</f>
        <v>3</v>
      </c>
      <c r="D4" s="1">
        <f t="shared" ca="1" si="1"/>
        <v>22.5</v>
      </c>
      <c r="E4" s="1">
        <f t="shared" ca="1" si="0"/>
        <v>229.5</v>
      </c>
      <c r="F4" s="1">
        <f t="shared" ref="F4:F40" ca="1" si="4">MAX(0,B4-$L$2-$M$2+F3)</f>
        <v>1.5</v>
      </c>
      <c r="G4" s="1">
        <f t="shared" ref="G4:G40" ca="1" si="5">MAX(0,$L$2-B4-$M$2+G3)</f>
        <v>0</v>
      </c>
      <c r="H4" s="15">
        <f t="shared" si="2"/>
        <v>5</v>
      </c>
      <c r="I4" s="1"/>
      <c r="J4" s="2"/>
    </row>
    <row r="5" spans="1:16" ht="16.2" thickBot="1" x14ac:dyDescent="0.35">
      <c r="A5" s="1">
        <v>4</v>
      </c>
      <c r="B5" s="2">
        <f ca="1">AVERAGE(OFFSET('n=1'!$B$1,(ROW()-2)*$P$2+1,0,$P$2,1))</f>
        <v>49.5</v>
      </c>
      <c r="C5" s="18">
        <f t="shared" ca="1" si="3"/>
        <v>2.5</v>
      </c>
      <c r="D5" s="1">
        <f t="shared" ca="1" si="1"/>
        <v>23</v>
      </c>
      <c r="E5" s="1">
        <f t="shared" ca="1" si="0"/>
        <v>229</v>
      </c>
      <c r="F5" s="1">
        <f t="shared" ca="1" si="4"/>
        <v>0.5</v>
      </c>
      <c r="G5" s="1">
        <f t="shared" ca="1" si="5"/>
        <v>0</v>
      </c>
      <c r="H5" s="15">
        <f t="shared" si="2"/>
        <v>5</v>
      </c>
      <c r="I5" s="1"/>
      <c r="J5" s="2"/>
    </row>
    <row r="6" spans="1:16" ht="16.2" thickBot="1" x14ac:dyDescent="0.35">
      <c r="A6" s="1">
        <v>5</v>
      </c>
      <c r="B6" s="2">
        <f ca="1">AVERAGE(OFFSET('n=1'!$B$1,(ROW()-2)*$P$2+1,0,$P$2,1))</f>
        <v>50</v>
      </c>
      <c r="C6" s="18">
        <f t="shared" ca="1" si="3"/>
        <v>2.5</v>
      </c>
      <c r="D6" s="1">
        <f t="shared" ca="1" si="1"/>
        <v>23.5</v>
      </c>
      <c r="E6" s="1">
        <f t="shared" ca="1" si="0"/>
        <v>228.5</v>
      </c>
      <c r="F6" s="1">
        <f t="shared" ca="1" si="4"/>
        <v>0</v>
      </c>
      <c r="G6" s="1">
        <f t="shared" ca="1" si="5"/>
        <v>0</v>
      </c>
      <c r="H6" s="15">
        <f t="shared" si="2"/>
        <v>5</v>
      </c>
      <c r="I6" s="1"/>
      <c r="J6" s="2"/>
    </row>
    <row r="7" spans="1:16" ht="16.2" thickBot="1" x14ac:dyDescent="0.35">
      <c r="A7" s="1">
        <v>6</v>
      </c>
      <c r="B7" s="2">
        <f ca="1">AVERAGE(OFFSET('n=1'!$B$1,(ROW()-2)*$P$2+1,0,$P$2,1))</f>
        <v>50.5</v>
      </c>
      <c r="C7" s="18">
        <f t="shared" ca="1" si="3"/>
        <v>3</v>
      </c>
      <c r="D7" s="1">
        <f t="shared" ca="1" si="1"/>
        <v>24</v>
      </c>
      <c r="E7" s="1">
        <f t="shared" ca="1" si="0"/>
        <v>228</v>
      </c>
      <c r="F7" s="1">
        <f t="shared" ca="1" si="4"/>
        <v>0</v>
      </c>
      <c r="G7" s="1">
        <f t="shared" ca="1" si="5"/>
        <v>0</v>
      </c>
      <c r="H7" s="15">
        <f t="shared" si="2"/>
        <v>5</v>
      </c>
      <c r="I7" s="1"/>
      <c r="J7" s="2"/>
    </row>
    <row r="8" spans="1:16" ht="16.2" thickBot="1" x14ac:dyDescent="0.35">
      <c r="A8" s="1">
        <v>7</v>
      </c>
      <c r="B8" s="2">
        <f ca="1">AVERAGE(OFFSET('n=1'!$B$1,(ROW()-2)*$P$2+1,0,$P$2,1))</f>
        <v>52.5</v>
      </c>
      <c r="C8" s="18">
        <f t="shared" ca="1" si="3"/>
        <v>5.5</v>
      </c>
      <c r="D8" s="1">
        <f t="shared" ca="1" si="1"/>
        <v>24.5</v>
      </c>
      <c r="E8" s="1">
        <f t="shared" ca="1" si="0"/>
        <v>227.5</v>
      </c>
      <c r="F8" s="1">
        <f t="shared" ca="1" si="4"/>
        <v>2</v>
      </c>
      <c r="G8" s="1">
        <f t="shared" ca="1" si="5"/>
        <v>0</v>
      </c>
      <c r="H8" s="15">
        <f t="shared" si="2"/>
        <v>5</v>
      </c>
      <c r="I8" s="1"/>
      <c r="J8" s="2"/>
    </row>
    <row r="9" spans="1:16" ht="16.2" thickBot="1" x14ac:dyDescent="0.35">
      <c r="A9" s="1">
        <v>8</v>
      </c>
      <c r="B9" s="2">
        <f ca="1">AVERAGE(OFFSET('n=1'!$B$1,(ROW()-2)*$P$2+1,0,$P$2,1))</f>
        <v>52</v>
      </c>
      <c r="C9" s="18">
        <f t="shared" ca="1" si="3"/>
        <v>7.5</v>
      </c>
      <c r="D9" s="1">
        <f t="shared" ca="1" si="1"/>
        <v>25</v>
      </c>
      <c r="E9" s="1">
        <f t="shared" ca="1" si="0"/>
        <v>227</v>
      </c>
      <c r="F9" s="1">
        <f t="shared" ca="1" si="4"/>
        <v>3.5</v>
      </c>
      <c r="G9" s="1">
        <f t="shared" ca="1" si="5"/>
        <v>0</v>
      </c>
      <c r="H9" s="15">
        <f t="shared" si="2"/>
        <v>5</v>
      </c>
      <c r="I9" s="1"/>
      <c r="J9" s="2"/>
    </row>
    <row r="10" spans="1:16" ht="16.2" thickBot="1" x14ac:dyDescent="0.35">
      <c r="A10" s="1">
        <v>9</v>
      </c>
      <c r="B10" s="2">
        <f ca="1">AVERAGE(OFFSET('n=1'!$B$1,(ROW()-2)*$P$2+1,0,$P$2,1))</f>
        <v>50</v>
      </c>
      <c r="C10" s="18">
        <f t="shared" ca="1" si="3"/>
        <v>7.5</v>
      </c>
      <c r="D10" s="1">
        <f t="shared" ca="1" si="1"/>
        <v>25.5</v>
      </c>
      <c r="E10" s="1">
        <f t="shared" ca="1" si="0"/>
        <v>226.5</v>
      </c>
      <c r="F10" s="1">
        <f t="shared" ca="1" si="4"/>
        <v>3</v>
      </c>
      <c r="G10" s="1">
        <f t="shared" ca="1" si="5"/>
        <v>0</v>
      </c>
      <c r="H10" s="15">
        <f t="shared" si="2"/>
        <v>5</v>
      </c>
      <c r="I10" s="1"/>
      <c r="J10" s="2"/>
    </row>
    <row r="11" spans="1:16" ht="16.2" thickBot="1" x14ac:dyDescent="0.35">
      <c r="A11" s="1">
        <v>10</v>
      </c>
      <c r="B11" s="2">
        <f ca="1">AVERAGE(OFFSET('n=1'!$B$1,(ROW()-2)*$P$2+1,0,$P$2,1))</f>
        <v>51.5</v>
      </c>
      <c r="C11" s="18">
        <f t="shared" ca="1" si="3"/>
        <v>9</v>
      </c>
      <c r="D11" s="1">
        <f t="shared" ca="1" si="1"/>
        <v>26</v>
      </c>
      <c r="E11" s="1">
        <f t="shared" ca="1" si="0"/>
        <v>226</v>
      </c>
      <c r="F11" s="1">
        <f t="shared" ca="1" si="4"/>
        <v>4</v>
      </c>
      <c r="G11" s="1">
        <f t="shared" ca="1" si="5"/>
        <v>0</v>
      </c>
      <c r="H11" s="15">
        <f t="shared" si="2"/>
        <v>5</v>
      </c>
      <c r="I11" s="1"/>
      <c r="J11" s="2"/>
    </row>
    <row r="12" spans="1:16" ht="16.2" thickBot="1" x14ac:dyDescent="0.35">
      <c r="A12" s="1">
        <v>11</v>
      </c>
      <c r="B12" s="2">
        <f ca="1">AVERAGE(OFFSET('n=1'!$B$1,(ROW()-2)*$P$2+1,0,$P$2,1))</f>
        <v>50</v>
      </c>
      <c r="C12" s="18">
        <f t="shared" ca="1" si="3"/>
        <v>9</v>
      </c>
      <c r="D12" s="1">
        <f t="shared" ca="1" si="1"/>
        <v>26.5</v>
      </c>
      <c r="E12" s="1">
        <f t="shared" ca="1" si="0"/>
        <v>225.5</v>
      </c>
      <c r="F12" s="1">
        <f t="shared" ca="1" si="4"/>
        <v>3.5</v>
      </c>
      <c r="G12" s="1">
        <f t="shared" ca="1" si="5"/>
        <v>0</v>
      </c>
      <c r="H12" s="15">
        <f t="shared" si="2"/>
        <v>5</v>
      </c>
      <c r="I12" s="1"/>
      <c r="J12" s="2"/>
    </row>
    <row r="13" spans="1:16" ht="16.2" thickBot="1" x14ac:dyDescent="0.35">
      <c r="A13" s="1">
        <v>12</v>
      </c>
      <c r="B13" s="2">
        <f ca="1">AVERAGE(OFFSET('n=1'!$B$1,(ROW()-2)*$P$2+1,0,$P$2,1))</f>
        <v>52</v>
      </c>
      <c r="C13" s="18">
        <f t="shared" ca="1" si="3"/>
        <v>11</v>
      </c>
      <c r="D13" s="1">
        <f t="shared" ca="1" si="1"/>
        <v>27</v>
      </c>
      <c r="E13" s="1">
        <f t="shared" ca="1" si="0"/>
        <v>225</v>
      </c>
      <c r="F13" s="1">
        <f t="shared" ca="1" si="4"/>
        <v>5</v>
      </c>
      <c r="G13" s="1">
        <f t="shared" ca="1" si="5"/>
        <v>0</v>
      </c>
      <c r="H13" s="15">
        <f t="shared" si="2"/>
        <v>5</v>
      </c>
      <c r="I13" s="1"/>
      <c r="J13" s="2"/>
    </row>
    <row r="14" spans="1:16" ht="16.2" thickBot="1" x14ac:dyDescent="0.35">
      <c r="A14" s="1">
        <v>13</v>
      </c>
      <c r="B14" s="2">
        <f ca="1">AVERAGE(OFFSET('n=1'!$B$1,(ROW()-2)*$P$2+1,0,$P$2,1))</f>
        <v>47.5</v>
      </c>
      <c r="C14" s="18">
        <f t="shared" ca="1" si="3"/>
        <v>8.5</v>
      </c>
      <c r="D14" s="1">
        <f t="shared" ca="1" si="1"/>
        <v>27.5</v>
      </c>
      <c r="E14" s="1">
        <f t="shared" ca="1" si="0"/>
        <v>224.5</v>
      </c>
      <c r="F14" s="1">
        <f t="shared" ca="1" si="4"/>
        <v>2</v>
      </c>
      <c r="G14" s="1">
        <f t="shared" ca="1" si="5"/>
        <v>2</v>
      </c>
      <c r="H14" s="15">
        <f t="shared" si="2"/>
        <v>5</v>
      </c>
      <c r="I14" s="1"/>
      <c r="J14" s="2"/>
    </row>
    <row r="15" spans="1:16" ht="16.2" thickBot="1" x14ac:dyDescent="0.35">
      <c r="A15" s="1">
        <v>14</v>
      </c>
      <c r="B15" s="2">
        <f ca="1">AVERAGE(OFFSET('n=1'!$B$1,(ROW()-2)*$P$2+1,0,$P$2,1))</f>
        <v>48.5</v>
      </c>
      <c r="C15" s="18">
        <f t="shared" ca="1" si="3"/>
        <v>7</v>
      </c>
      <c r="D15" s="1">
        <f t="shared" ca="1" si="1"/>
        <v>28</v>
      </c>
      <c r="E15" s="1">
        <f t="shared" ca="1" si="0"/>
        <v>224</v>
      </c>
      <c r="F15" s="1">
        <f t="shared" ca="1" si="4"/>
        <v>0</v>
      </c>
      <c r="G15" s="1">
        <f t="shared" ca="1" si="5"/>
        <v>3</v>
      </c>
      <c r="H15" s="15">
        <f t="shared" si="2"/>
        <v>5</v>
      </c>
      <c r="I15" s="1"/>
      <c r="J15" s="2"/>
    </row>
    <row r="16" spans="1:16" ht="16.2" thickBot="1" x14ac:dyDescent="0.35">
      <c r="A16" s="1">
        <v>15</v>
      </c>
      <c r="B16" s="2">
        <f ca="1">AVERAGE(OFFSET('n=1'!$B$1,(ROW()-2)*$P$2+1,0,$P$2,1))</f>
        <v>49.5</v>
      </c>
      <c r="C16" s="18">
        <f t="shared" ca="1" si="3"/>
        <v>6.5</v>
      </c>
      <c r="D16" s="1">
        <f t="shared" ca="1" si="1"/>
        <v>28.5</v>
      </c>
      <c r="E16" s="1">
        <f t="shared" ca="1" si="0"/>
        <v>223.5</v>
      </c>
      <c r="F16" s="1">
        <f t="shared" ca="1" si="4"/>
        <v>0</v>
      </c>
      <c r="G16" s="1">
        <f t="shared" ca="1" si="5"/>
        <v>3</v>
      </c>
      <c r="H16" s="15">
        <f t="shared" si="2"/>
        <v>5</v>
      </c>
      <c r="I16" s="1"/>
      <c r="J16" s="2"/>
    </row>
    <row r="17" spans="1:10" ht="16.2" thickBot="1" x14ac:dyDescent="0.35">
      <c r="A17" s="1">
        <v>16</v>
      </c>
      <c r="B17" s="2">
        <f ca="1">AVERAGE(OFFSET('n=1'!$B$1,(ROW()-2)*$P$2+1,0,$P$2,1))</f>
        <v>48.5</v>
      </c>
      <c r="C17" s="18">
        <f t="shared" ca="1" si="3"/>
        <v>5</v>
      </c>
      <c r="D17" s="1">
        <f t="shared" ca="1" si="1"/>
        <v>29</v>
      </c>
      <c r="E17" s="1">
        <f t="shared" ca="1" si="0"/>
        <v>223</v>
      </c>
      <c r="F17" s="1">
        <f t="shared" ca="1" si="4"/>
        <v>0</v>
      </c>
      <c r="G17" s="1">
        <f t="shared" ca="1" si="5"/>
        <v>4</v>
      </c>
      <c r="H17" s="15">
        <f t="shared" si="2"/>
        <v>5</v>
      </c>
      <c r="I17" s="1"/>
      <c r="J17" s="2"/>
    </row>
    <row r="18" spans="1:10" ht="16.2" thickBot="1" x14ac:dyDescent="0.35">
      <c r="A18" s="1">
        <v>17</v>
      </c>
      <c r="B18" s="2">
        <f ca="1">AVERAGE(OFFSET('n=1'!$B$1,(ROW()-2)*$P$2+1,0,$P$2,1))</f>
        <v>50</v>
      </c>
      <c r="C18" s="18">
        <f t="shared" ca="1" si="3"/>
        <v>5</v>
      </c>
      <c r="D18" s="1">
        <f t="shared" ca="1" si="1"/>
        <v>29.5</v>
      </c>
      <c r="E18" s="1">
        <f t="shared" ca="1" si="0"/>
        <v>222.5</v>
      </c>
      <c r="F18" s="1">
        <f t="shared" ca="1" si="4"/>
        <v>0</v>
      </c>
      <c r="G18" s="1">
        <f t="shared" ca="1" si="5"/>
        <v>3.5</v>
      </c>
      <c r="H18" s="15">
        <f t="shared" si="2"/>
        <v>5</v>
      </c>
      <c r="I18" s="1"/>
      <c r="J18" s="2"/>
    </row>
    <row r="19" spans="1:10" ht="16.2" thickBot="1" x14ac:dyDescent="0.35">
      <c r="A19" s="1">
        <v>18</v>
      </c>
      <c r="B19" s="2">
        <f ca="1">AVERAGE(OFFSET('n=1'!$B$1,(ROW()-2)*$P$2+1,0,$P$2,1))</f>
        <v>49</v>
      </c>
      <c r="C19" s="18">
        <f t="shared" ca="1" si="3"/>
        <v>4</v>
      </c>
      <c r="D19" s="1">
        <f t="shared" ca="1" si="1"/>
        <v>30</v>
      </c>
      <c r="E19" s="1">
        <f t="shared" ca="1" si="0"/>
        <v>222</v>
      </c>
      <c r="F19" s="1">
        <f t="shared" ca="1" si="4"/>
        <v>0</v>
      </c>
      <c r="G19" s="1">
        <f t="shared" ca="1" si="5"/>
        <v>4</v>
      </c>
      <c r="H19" s="15">
        <f t="shared" si="2"/>
        <v>5</v>
      </c>
      <c r="I19" s="1"/>
      <c r="J19" s="2"/>
    </row>
    <row r="20" spans="1:10" ht="16.2" thickBot="1" x14ac:dyDescent="0.35">
      <c r="A20" s="1">
        <v>19</v>
      </c>
      <c r="B20" s="2">
        <f ca="1">AVERAGE(OFFSET('n=1'!$B$1,(ROW()-2)*$P$2+1,0,$P$2,1))</f>
        <v>49.5</v>
      </c>
      <c r="C20" s="18">
        <f t="shared" ca="1" si="3"/>
        <v>3.5</v>
      </c>
      <c r="D20" s="1">
        <f t="shared" ca="1" si="1"/>
        <v>30.5</v>
      </c>
      <c r="E20" s="1">
        <f t="shared" ca="1" si="0"/>
        <v>221.5</v>
      </c>
      <c r="F20" s="1">
        <f t="shared" ca="1" si="4"/>
        <v>0</v>
      </c>
      <c r="G20" s="1">
        <f t="shared" ca="1" si="5"/>
        <v>4</v>
      </c>
      <c r="H20" s="15">
        <f t="shared" si="2"/>
        <v>5</v>
      </c>
      <c r="I20" s="1"/>
      <c r="J20" s="2"/>
    </row>
    <row r="21" spans="1:10" ht="16.2" thickBot="1" x14ac:dyDescent="0.35">
      <c r="A21" s="1">
        <v>20</v>
      </c>
      <c r="B21" s="2">
        <f ca="1">AVERAGE(OFFSET('n=1'!$B$1,(ROW()-2)*$P$2+1,0,$P$2,1))</f>
        <v>50</v>
      </c>
      <c r="C21" s="18">
        <f t="shared" ca="1" si="3"/>
        <v>3.5</v>
      </c>
      <c r="D21" s="1">
        <f t="shared" ca="1" si="1"/>
        <v>31</v>
      </c>
      <c r="E21" s="1">
        <f t="shared" ca="1" si="0"/>
        <v>221</v>
      </c>
      <c r="F21" s="1">
        <f t="shared" ca="1" si="4"/>
        <v>0</v>
      </c>
      <c r="G21" s="1">
        <f t="shared" ca="1" si="5"/>
        <v>3.5</v>
      </c>
      <c r="H21" s="15">
        <f t="shared" si="2"/>
        <v>5</v>
      </c>
      <c r="I21" s="1"/>
      <c r="J21" s="2"/>
    </row>
    <row r="22" spans="1:10" ht="16.2" thickBot="1" x14ac:dyDescent="0.35">
      <c r="A22" s="1">
        <v>21</v>
      </c>
      <c r="B22" s="2">
        <f ca="1">AVERAGE(OFFSET('n=1'!$B$1,(ROW()-2)*$P$2+1,0,$P$2,1))</f>
        <v>49</v>
      </c>
      <c r="C22" s="18">
        <f t="shared" ca="1" si="3"/>
        <v>2.5</v>
      </c>
      <c r="D22" s="1">
        <f t="shared" ca="1" si="1"/>
        <v>31.5</v>
      </c>
      <c r="E22" s="1">
        <f t="shared" ca="1" si="0"/>
        <v>220.5</v>
      </c>
      <c r="F22" s="1">
        <f t="shared" ca="1" si="4"/>
        <v>0</v>
      </c>
      <c r="G22" s="1">
        <f t="shared" ca="1" si="5"/>
        <v>4</v>
      </c>
      <c r="H22" s="15">
        <f t="shared" si="2"/>
        <v>5</v>
      </c>
      <c r="I22" s="1"/>
      <c r="J22" s="2"/>
    </row>
    <row r="23" spans="1:10" ht="16.2" thickBot="1" x14ac:dyDescent="0.35">
      <c r="A23" s="1">
        <v>22</v>
      </c>
      <c r="B23" s="2">
        <f ca="1">AVERAGE(OFFSET('n=1'!$B$1,(ROW()-2)*$P$2+1,0,$P$2,1))</f>
        <v>49.5</v>
      </c>
      <c r="C23" s="18">
        <f t="shared" ca="1" si="3"/>
        <v>2</v>
      </c>
      <c r="D23" s="1">
        <f t="shared" ca="1" si="1"/>
        <v>32</v>
      </c>
      <c r="E23" s="1">
        <f t="shared" ca="1" si="0"/>
        <v>220</v>
      </c>
      <c r="F23" s="1">
        <f t="shared" ca="1" si="4"/>
        <v>0</v>
      </c>
      <c r="G23" s="1">
        <f t="shared" ca="1" si="5"/>
        <v>4</v>
      </c>
      <c r="H23" s="15">
        <f t="shared" si="2"/>
        <v>5</v>
      </c>
      <c r="I23" s="1"/>
      <c r="J23" s="2"/>
    </row>
    <row r="24" spans="1:10" ht="16.2" thickBot="1" x14ac:dyDescent="0.35">
      <c r="A24" s="1">
        <v>23</v>
      </c>
      <c r="B24" s="2">
        <f ca="1">AVERAGE(OFFSET('n=1'!$B$1,(ROW()-2)*$P$2+1,0,$P$2,1))</f>
        <v>51.5</v>
      </c>
      <c r="C24" s="18">
        <f t="shared" ca="1" si="3"/>
        <v>3.5</v>
      </c>
      <c r="D24" s="1">
        <f t="shared" ca="1" si="1"/>
        <v>32.5</v>
      </c>
      <c r="E24" s="1">
        <f t="shared" ca="1" si="0"/>
        <v>219.5</v>
      </c>
      <c r="F24" s="1">
        <f t="shared" ca="1" si="4"/>
        <v>1</v>
      </c>
      <c r="G24" s="1">
        <f t="shared" ca="1" si="5"/>
        <v>2</v>
      </c>
      <c r="H24" s="15">
        <f t="shared" si="2"/>
        <v>5</v>
      </c>
      <c r="I24" s="1"/>
      <c r="J24" s="2"/>
    </row>
    <row r="25" spans="1:10" ht="16.2" thickBot="1" x14ac:dyDescent="0.35">
      <c r="A25" s="1">
        <v>24</v>
      </c>
      <c r="B25" s="2">
        <f ca="1">AVERAGE(OFFSET('n=1'!$B$1,(ROW()-2)*$P$2+1,0,$P$2,1))</f>
        <v>47.5</v>
      </c>
      <c r="C25" s="18">
        <f t="shared" ca="1" si="3"/>
        <v>1</v>
      </c>
      <c r="D25" s="1">
        <f t="shared" ca="1" si="1"/>
        <v>33</v>
      </c>
      <c r="E25" s="1">
        <f t="shared" ca="1" si="0"/>
        <v>219</v>
      </c>
      <c r="F25" s="1">
        <f t="shared" ca="1" si="4"/>
        <v>0</v>
      </c>
      <c r="G25" s="1">
        <f t="shared" ca="1" si="5"/>
        <v>4</v>
      </c>
      <c r="H25" s="15">
        <f t="shared" si="2"/>
        <v>5</v>
      </c>
      <c r="I25" s="1"/>
      <c r="J25" s="2"/>
    </row>
    <row r="26" spans="1:10" ht="16.2" thickBot="1" x14ac:dyDescent="0.35">
      <c r="A26" s="1">
        <v>25</v>
      </c>
      <c r="B26" s="2">
        <f ca="1">AVERAGE(OFFSET('n=1'!$B$1,(ROW()-2)*$P$2+1,0,$P$2,1))</f>
        <v>53.5</v>
      </c>
      <c r="C26" s="18">
        <f t="shared" ca="1" si="3"/>
        <v>4.5</v>
      </c>
      <c r="D26" s="1">
        <f t="shared" ca="1" si="1"/>
        <v>33.5</v>
      </c>
      <c r="E26" s="1">
        <f t="shared" ca="1" si="0"/>
        <v>218.5</v>
      </c>
      <c r="F26" s="1">
        <f t="shared" ca="1" si="4"/>
        <v>3</v>
      </c>
      <c r="G26" s="1">
        <f t="shared" ca="1" si="5"/>
        <v>0</v>
      </c>
      <c r="H26" s="15">
        <f t="shared" si="2"/>
        <v>5</v>
      </c>
      <c r="I26" s="1"/>
      <c r="J26" s="2"/>
    </row>
    <row r="27" spans="1:10" ht="16.2" thickBot="1" x14ac:dyDescent="0.35">
      <c r="A27" s="1">
        <v>26</v>
      </c>
      <c r="B27" s="2">
        <f ca="1">AVERAGE(OFFSET('n=1'!$B$1,(ROW()-2)*$P$2+1,0,$P$2,1))</f>
        <v>51.5</v>
      </c>
      <c r="C27" s="18">
        <f t="shared" ca="1" si="3"/>
        <v>6</v>
      </c>
      <c r="D27" s="1">
        <f t="shared" ca="1" si="1"/>
        <v>34</v>
      </c>
      <c r="E27" s="1">
        <f t="shared" ca="1" si="0"/>
        <v>218</v>
      </c>
      <c r="F27" s="1">
        <f t="shared" ca="1" si="4"/>
        <v>4</v>
      </c>
      <c r="G27" s="1">
        <f t="shared" ca="1" si="5"/>
        <v>0</v>
      </c>
      <c r="H27" s="15">
        <f t="shared" si="2"/>
        <v>5</v>
      </c>
      <c r="I27" s="1"/>
      <c r="J27" s="2"/>
    </row>
    <row r="28" spans="1:10" ht="16.2" thickBot="1" x14ac:dyDescent="0.35">
      <c r="A28" s="1">
        <v>27</v>
      </c>
      <c r="B28" s="2">
        <f ca="1">AVERAGE(OFFSET('n=1'!$B$1,(ROW()-2)*$P$2+1,0,$P$2,1))</f>
        <v>53</v>
      </c>
      <c r="C28" s="18">
        <f t="shared" ca="1" si="3"/>
        <v>9</v>
      </c>
      <c r="D28" s="1">
        <f t="shared" ca="1" si="1"/>
        <v>34.5</v>
      </c>
      <c r="E28" s="1">
        <f t="shared" ca="1" si="0"/>
        <v>217.5</v>
      </c>
      <c r="F28" s="1">
        <f t="shared" ca="1" si="4"/>
        <v>6.5</v>
      </c>
      <c r="G28" s="1">
        <f t="shared" ca="1" si="5"/>
        <v>0</v>
      </c>
      <c r="H28" s="15">
        <f t="shared" si="2"/>
        <v>5</v>
      </c>
      <c r="I28" s="1"/>
      <c r="J28" s="2"/>
    </row>
    <row r="29" spans="1:10" ht="16.2" thickBot="1" x14ac:dyDescent="0.35">
      <c r="A29" s="1">
        <v>28</v>
      </c>
      <c r="B29" s="2">
        <f ca="1">AVERAGE(OFFSET('n=1'!$B$1,(ROW()-2)*$P$2+1,0,$P$2,1))</f>
        <v>49.5</v>
      </c>
      <c r="C29" s="18">
        <f t="shared" ca="1" si="3"/>
        <v>8.5</v>
      </c>
      <c r="D29" s="1">
        <f t="shared" ca="1" si="1"/>
        <v>35</v>
      </c>
      <c r="E29" s="1">
        <f t="shared" ca="1" si="0"/>
        <v>217</v>
      </c>
      <c r="F29" s="1">
        <f t="shared" ca="1" si="4"/>
        <v>5.5</v>
      </c>
      <c r="G29" s="1">
        <f t="shared" ca="1" si="5"/>
        <v>0</v>
      </c>
      <c r="H29" s="15">
        <f t="shared" si="2"/>
        <v>5</v>
      </c>
      <c r="I29" s="1"/>
      <c r="J29" s="2"/>
    </row>
    <row r="30" spans="1:10" ht="16.2" thickBot="1" x14ac:dyDescent="0.35">
      <c r="A30" s="1">
        <v>29</v>
      </c>
      <c r="B30" s="2">
        <f ca="1">AVERAGE(OFFSET('n=1'!$B$1,(ROW()-2)*$P$2+1,0,$P$2,1))</f>
        <v>52</v>
      </c>
      <c r="C30" s="18">
        <f t="shared" ca="1" si="3"/>
        <v>10.5</v>
      </c>
      <c r="D30" s="1">
        <f t="shared" ca="1" si="1"/>
        <v>35.5</v>
      </c>
      <c r="E30" s="1">
        <f t="shared" ca="1" si="0"/>
        <v>216.5</v>
      </c>
      <c r="F30" s="1">
        <f t="shared" ca="1" si="4"/>
        <v>7</v>
      </c>
      <c r="G30" s="1">
        <f t="shared" ca="1" si="5"/>
        <v>0</v>
      </c>
      <c r="H30" s="15">
        <f t="shared" si="2"/>
        <v>5</v>
      </c>
      <c r="I30" s="1"/>
      <c r="J30" s="2"/>
    </row>
    <row r="31" spans="1:10" ht="16.2" thickBot="1" x14ac:dyDescent="0.35">
      <c r="A31" s="1">
        <v>30</v>
      </c>
      <c r="B31" s="2">
        <f ca="1">AVERAGE(OFFSET('n=1'!$B$1,(ROW()-2)*$P$2+1,0,$P$2,1))</f>
        <v>49.5</v>
      </c>
      <c r="C31" s="18">
        <f t="shared" ca="1" si="3"/>
        <v>10</v>
      </c>
      <c r="D31" s="1">
        <f t="shared" ca="1" si="1"/>
        <v>36</v>
      </c>
      <c r="E31" s="1">
        <f t="shared" ca="1" si="0"/>
        <v>216</v>
      </c>
      <c r="F31" s="1">
        <f t="shared" ca="1" si="4"/>
        <v>6</v>
      </c>
      <c r="G31" s="1">
        <f t="shared" ca="1" si="5"/>
        <v>0</v>
      </c>
      <c r="H31" s="15">
        <f t="shared" si="2"/>
        <v>5</v>
      </c>
      <c r="I31" s="1"/>
      <c r="J31" s="2"/>
    </row>
    <row r="32" spans="1:10" ht="16.2" thickBot="1" x14ac:dyDescent="0.35">
      <c r="A32" s="1">
        <v>31</v>
      </c>
      <c r="B32" s="2">
        <f ca="1">AVERAGE(OFFSET('n=1'!$B$1,(ROW()-2)*$P$2+1,0,$P$2,1))</f>
        <v>50</v>
      </c>
      <c r="C32" s="18">
        <f t="shared" ca="1" si="3"/>
        <v>10</v>
      </c>
      <c r="D32" s="1">
        <f t="shared" ca="1" si="1"/>
        <v>36.5</v>
      </c>
      <c r="E32" s="1">
        <f t="shared" ca="1" si="0"/>
        <v>215.5</v>
      </c>
      <c r="F32" s="1">
        <f t="shared" ca="1" si="4"/>
        <v>5.5</v>
      </c>
      <c r="G32" s="1">
        <f t="shared" ca="1" si="5"/>
        <v>0</v>
      </c>
      <c r="H32" s="15">
        <f t="shared" si="2"/>
        <v>5</v>
      </c>
      <c r="I32" s="1"/>
      <c r="J32" s="2"/>
    </row>
    <row r="33" spans="1:10" ht="16.2" thickBot="1" x14ac:dyDescent="0.35">
      <c r="A33" s="1">
        <v>32</v>
      </c>
      <c r="B33" s="2">
        <f ca="1">AVERAGE(OFFSET('n=1'!$B$1,(ROW()-2)*$P$2+1,0,$P$2,1))</f>
        <v>51.5</v>
      </c>
      <c r="C33" s="18">
        <f t="shared" ca="1" si="3"/>
        <v>11.5</v>
      </c>
      <c r="D33" s="1">
        <f t="shared" ca="1" si="1"/>
        <v>37</v>
      </c>
      <c r="E33" s="1">
        <f t="shared" ca="1" si="0"/>
        <v>215</v>
      </c>
      <c r="F33" s="1">
        <f t="shared" ca="1" si="4"/>
        <v>6.5</v>
      </c>
      <c r="G33" s="1">
        <f t="shared" ca="1" si="5"/>
        <v>0</v>
      </c>
      <c r="H33" s="15">
        <f t="shared" si="2"/>
        <v>5</v>
      </c>
      <c r="I33" s="1"/>
      <c r="J33" s="2"/>
    </row>
    <row r="34" spans="1:10" ht="16.2" thickBot="1" x14ac:dyDescent="0.35">
      <c r="A34" s="1">
        <v>33</v>
      </c>
      <c r="B34" s="2">
        <f ca="1">AVERAGE(OFFSET('n=1'!$B$1,(ROW()-2)*$P$2+1,0,$P$2,1))</f>
        <v>50</v>
      </c>
      <c r="C34" s="18">
        <f t="shared" ca="1" si="3"/>
        <v>11.5</v>
      </c>
      <c r="D34" s="1">
        <f t="shared" ca="1" si="1"/>
        <v>37.5</v>
      </c>
      <c r="E34" s="1">
        <f t="shared" ca="1" si="0"/>
        <v>214.5</v>
      </c>
      <c r="F34" s="1">
        <f t="shared" ca="1" si="4"/>
        <v>6</v>
      </c>
      <c r="G34" s="1">
        <f t="shared" ca="1" si="5"/>
        <v>0</v>
      </c>
      <c r="H34" s="15">
        <f t="shared" si="2"/>
        <v>5</v>
      </c>
      <c r="I34" s="1"/>
      <c r="J34" s="2"/>
    </row>
    <row r="35" spans="1:10" ht="16.2" thickBot="1" x14ac:dyDescent="0.35">
      <c r="A35" s="1">
        <v>34</v>
      </c>
      <c r="B35" s="2">
        <f ca="1">AVERAGE(OFFSET('n=1'!$B$1,(ROW()-2)*$P$2+1,0,$P$2,1))</f>
        <v>47.5</v>
      </c>
      <c r="C35" s="18">
        <f t="shared" ca="1" si="3"/>
        <v>9</v>
      </c>
      <c r="D35" s="1">
        <f t="shared" ca="1" si="1"/>
        <v>38</v>
      </c>
      <c r="E35" s="1">
        <f t="shared" ca="1" si="0"/>
        <v>214</v>
      </c>
      <c r="F35" s="1">
        <f t="shared" ca="1" si="4"/>
        <v>3</v>
      </c>
      <c r="G35" s="1">
        <f t="shared" ca="1" si="5"/>
        <v>2</v>
      </c>
      <c r="H35" s="15">
        <f t="shared" si="2"/>
        <v>5</v>
      </c>
      <c r="I35" s="1"/>
      <c r="J35" s="2"/>
    </row>
    <row r="36" spans="1:10" ht="16.2" thickBot="1" x14ac:dyDescent="0.35">
      <c r="A36" s="1">
        <v>35</v>
      </c>
      <c r="B36" s="2">
        <f ca="1">AVERAGE(OFFSET('n=1'!$B$1,(ROW()-2)*$P$2+1,0,$P$2,1))</f>
        <v>47.5</v>
      </c>
      <c r="C36" s="18">
        <f t="shared" ca="1" si="3"/>
        <v>6.5</v>
      </c>
      <c r="D36" s="1">
        <f t="shared" ca="1" si="1"/>
        <v>38.5</v>
      </c>
      <c r="E36" s="1">
        <f t="shared" ca="1" si="0"/>
        <v>213.5</v>
      </c>
      <c r="F36" s="1">
        <f t="shared" ca="1" si="4"/>
        <v>0</v>
      </c>
      <c r="G36" s="1">
        <f t="shared" ca="1" si="5"/>
        <v>4</v>
      </c>
      <c r="H36" s="15">
        <f t="shared" si="2"/>
        <v>5</v>
      </c>
      <c r="I36" s="1"/>
      <c r="J36" s="2"/>
    </row>
    <row r="37" spans="1:10" ht="16.2" thickBot="1" x14ac:dyDescent="0.35">
      <c r="A37" s="1">
        <v>36</v>
      </c>
      <c r="B37" s="2">
        <f ca="1">AVERAGE(OFFSET('n=1'!$B$1,(ROW()-2)*$P$2+1,0,$P$2,1))</f>
        <v>51.5</v>
      </c>
      <c r="C37" s="18">
        <f t="shared" ca="1" si="3"/>
        <v>8</v>
      </c>
      <c r="D37" s="1">
        <f t="shared" ca="1" si="1"/>
        <v>39</v>
      </c>
      <c r="E37" s="1">
        <f t="shared" ca="1" si="0"/>
        <v>213</v>
      </c>
      <c r="F37" s="1">
        <f t="shared" ca="1" si="4"/>
        <v>1</v>
      </c>
      <c r="G37" s="1">
        <f t="shared" ca="1" si="5"/>
        <v>2</v>
      </c>
      <c r="H37" s="15">
        <f t="shared" si="2"/>
        <v>5</v>
      </c>
      <c r="I37" s="1"/>
      <c r="J37" s="2"/>
    </row>
    <row r="38" spans="1:10" ht="16.2" thickBot="1" x14ac:dyDescent="0.35">
      <c r="A38" s="1">
        <v>37</v>
      </c>
      <c r="B38" s="2">
        <f ca="1">AVERAGE(OFFSET('n=1'!$B$1,(ROW()-2)*$P$2+1,0,$P$2,1))</f>
        <v>46.5</v>
      </c>
      <c r="C38" s="18">
        <f t="shared" ca="1" si="3"/>
        <v>4.5</v>
      </c>
      <c r="D38" s="1">
        <f t="shared" ca="1" si="1"/>
        <v>39.5</v>
      </c>
      <c r="E38" s="1">
        <f t="shared" ca="1" si="0"/>
        <v>212.5</v>
      </c>
      <c r="F38" s="1">
        <f t="shared" ca="1" si="4"/>
        <v>0</v>
      </c>
      <c r="G38" s="1">
        <f t="shared" ca="1" si="5"/>
        <v>5</v>
      </c>
      <c r="H38" s="15">
        <f t="shared" si="2"/>
        <v>5</v>
      </c>
      <c r="I38" s="1"/>
      <c r="J38" s="2"/>
    </row>
    <row r="39" spans="1:10" ht="16.2" thickBot="1" x14ac:dyDescent="0.35">
      <c r="A39" s="1">
        <v>38</v>
      </c>
      <c r="B39" s="2">
        <f ca="1">AVERAGE(OFFSET('n=1'!$B$1,(ROW()-2)*$P$2+1,0,$P$2,1))</f>
        <v>50</v>
      </c>
      <c r="C39" s="18">
        <f t="shared" ca="1" si="3"/>
        <v>4.5</v>
      </c>
      <c r="D39" s="1">
        <f t="shared" ca="1" si="1"/>
        <v>40</v>
      </c>
      <c r="E39" s="1">
        <f t="shared" ca="1" si="0"/>
        <v>212</v>
      </c>
      <c r="F39" s="1">
        <f t="shared" ca="1" si="4"/>
        <v>0</v>
      </c>
      <c r="G39" s="1">
        <f t="shared" ca="1" si="5"/>
        <v>4.5</v>
      </c>
      <c r="H39" s="15">
        <f t="shared" si="2"/>
        <v>5</v>
      </c>
      <c r="I39" s="1"/>
      <c r="J39" s="2"/>
    </row>
    <row r="40" spans="1:10" ht="16.2" thickBot="1" x14ac:dyDescent="0.35">
      <c r="A40" s="1">
        <v>39</v>
      </c>
      <c r="B40" s="2">
        <f ca="1">AVERAGE(OFFSET('n=1'!$B$1,(ROW()-2)*$P$2+1,0,$P$2,1))</f>
        <v>51</v>
      </c>
      <c r="C40" s="18">
        <f t="shared" ca="1" si="3"/>
        <v>5.5</v>
      </c>
      <c r="D40" s="1">
        <f t="shared" ca="1" si="1"/>
        <v>40.5</v>
      </c>
      <c r="E40" s="1">
        <f t="shared" ca="1" si="0"/>
        <v>211.5</v>
      </c>
      <c r="F40" s="1">
        <f t="shared" ca="1" si="4"/>
        <v>0.5</v>
      </c>
      <c r="G40" s="1">
        <f t="shared" ca="1" si="5"/>
        <v>3</v>
      </c>
      <c r="H40" s="15">
        <f t="shared" si="2"/>
        <v>5</v>
      </c>
      <c r="I40" s="1"/>
      <c r="J40" s="2"/>
    </row>
    <row r="41" spans="1:10" ht="16.2" thickBot="1" x14ac:dyDescent="0.35">
      <c r="A41" s="1">
        <v>40</v>
      </c>
      <c r="B41" s="2">
        <f ca="1">AVERAGE(OFFSET('n=1'!$B$1,(ROW()-2)*$P$2+1,0,$P$2,1))</f>
        <v>52.5</v>
      </c>
      <c r="C41" s="18">
        <f t="shared" ca="1" si="3"/>
        <v>8</v>
      </c>
      <c r="D41" s="1">
        <f t="shared" ca="1" si="1"/>
        <v>41</v>
      </c>
      <c r="E41" s="1">
        <f t="shared" ca="1" si="0"/>
        <v>211</v>
      </c>
      <c r="F41" s="1">
        <f t="shared" ref="F41:F104" ca="1" si="6">MAX(0,B41-$L$2-$M$2+F40)</f>
        <v>2.5</v>
      </c>
      <c r="G41" s="1">
        <f t="shared" ref="G41:G104" ca="1" si="7">MAX(0,$L$2-B41-$M$2+G40)</f>
        <v>0</v>
      </c>
      <c r="H41" s="15">
        <f t="shared" si="2"/>
        <v>5</v>
      </c>
      <c r="I41" s="1"/>
      <c r="J41" s="2"/>
    </row>
    <row r="42" spans="1:10" ht="16.2" thickBot="1" x14ac:dyDescent="0.35">
      <c r="A42" s="1">
        <v>41</v>
      </c>
      <c r="B42" s="2">
        <f ca="1">AVERAGE(OFFSET('n=1'!$B$1,(ROW()-2)*$P$2+1,0,$P$2,1))</f>
        <v>49.5</v>
      </c>
      <c r="C42" s="18">
        <f t="shared" ca="1" si="3"/>
        <v>7.5</v>
      </c>
      <c r="D42" s="1">
        <f t="shared" ca="1" si="1"/>
        <v>41.5</v>
      </c>
      <c r="E42" s="1">
        <f t="shared" ca="1" si="0"/>
        <v>210.5</v>
      </c>
      <c r="F42" s="1">
        <f t="shared" ca="1" si="6"/>
        <v>1.5</v>
      </c>
      <c r="G42" s="1">
        <f t="shared" ca="1" si="7"/>
        <v>0</v>
      </c>
      <c r="H42" s="15">
        <f t="shared" si="2"/>
        <v>5</v>
      </c>
      <c r="I42" s="1"/>
      <c r="J42" s="2"/>
    </row>
    <row r="43" spans="1:10" ht="16.2" thickBot="1" x14ac:dyDescent="0.35">
      <c r="A43" s="1">
        <v>42</v>
      </c>
      <c r="B43" s="2">
        <f ca="1">AVERAGE(OFFSET('n=1'!$B$1,(ROW()-2)*$P$2+1,0,$P$2,1))</f>
        <v>48.5</v>
      </c>
      <c r="C43" s="18">
        <f t="shared" ca="1" si="3"/>
        <v>6</v>
      </c>
      <c r="D43" s="1">
        <f t="shared" ca="1" si="1"/>
        <v>42</v>
      </c>
      <c r="E43" s="1">
        <f t="shared" ca="1" si="0"/>
        <v>210</v>
      </c>
      <c r="F43" s="1">
        <f t="shared" ca="1" si="6"/>
        <v>0</v>
      </c>
      <c r="G43" s="1">
        <f t="shared" ca="1" si="7"/>
        <v>1</v>
      </c>
      <c r="H43" s="15">
        <f t="shared" si="2"/>
        <v>5</v>
      </c>
      <c r="I43" s="1"/>
      <c r="J43" s="2"/>
    </row>
    <row r="44" spans="1:10" ht="16.2" thickBot="1" x14ac:dyDescent="0.35">
      <c r="A44" s="1">
        <v>43</v>
      </c>
      <c r="B44" s="2">
        <f ca="1">AVERAGE(OFFSET('n=1'!$B$1,(ROW()-2)*$P$2+1,0,$P$2,1))</f>
        <v>48</v>
      </c>
      <c r="C44" s="18">
        <f t="shared" ca="1" si="3"/>
        <v>4</v>
      </c>
      <c r="D44" s="1">
        <f t="shared" ca="1" si="1"/>
        <v>42.5</v>
      </c>
      <c r="E44" s="1">
        <f t="shared" ca="1" si="0"/>
        <v>209.5</v>
      </c>
      <c r="F44" s="1">
        <f t="shared" ca="1" si="6"/>
        <v>0</v>
      </c>
      <c r="G44" s="1">
        <f t="shared" ca="1" si="7"/>
        <v>2.5</v>
      </c>
      <c r="H44" s="15">
        <f t="shared" si="2"/>
        <v>5</v>
      </c>
      <c r="I44" s="1"/>
      <c r="J44" s="2"/>
    </row>
    <row r="45" spans="1:10" ht="16.2" thickBot="1" x14ac:dyDescent="0.35">
      <c r="A45" s="1">
        <v>44</v>
      </c>
      <c r="B45" s="2">
        <f ca="1">AVERAGE(OFFSET('n=1'!$B$1,(ROW()-2)*$P$2+1,0,$P$2,1))</f>
        <v>51</v>
      </c>
      <c r="C45" s="18">
        <f t="shared" ca="1" si="3"/>
        <v>5</v>
      </c>
      <c r="D45" s="1">
        <f t="shared" ca="1" si="1"/>
        <v>43</v>
      </c>
      <c r="E45" s="1">
        <f t="shared" ca="1" si="0"/>
        <v>209</v>
      </c>
      <c r="F45" s="1">
        <f t="shared" ca="1" si="6"/>
        <v>0.5</v>
      </c>
      <c r="G45" s="1">
        <f t="shared" ca="1" si="7"/>
        <v>1</v>
      </c>
      <c r="H45" s="15">
        <f t="shared" si="2"/>
        <v>5</v>
      </c>
      <c r="I45" s="1"/>
      <c r="J45" s="2"/>
    </row>
    <row r="46" spans="1:10" ht="16.2" thickBot="1" x14ac:dyDescent="0.35">
      <c r="A46" s="1">
        <v>45</v>
      </c>
      <c r="B46" s="2">
        <f ca="1">AVERAGE(OFFSET('n=1'!$B$1,(ROW()-2)*$P$2+1,0,$P$2,1))</f>
        <v>53</v>
      </c>
      <c r="C46" s="18">
        <f t="shared" ca="1" si="3"/>
        <v>8</v>
      </c>
      <c r="D46" s="1">
        <f t="shared" ca="1" si="1"/>
        <v>43.5</v>
      </c>
      <c r="E46" s="1">
        <f t="shared" ca="1" si="0"/>
        <v>208.5</v>
      </c>
      <c r="F46" s="1">
        <f t="shared" ca="1" si="6"/>
        <v>3</v>
      </c>
      <c r="G46" s="1">
        <f t="shared" ca="1" si="7"/>
        <v>0</v>
      </c>
      <c r="H46" s="15">
        <f t="shared" si="2"/>
        <v>5</v>
      </c>
      <c r="I46" s="1"/>
      <c r="J46" s="2"/>
    </row>
    <row r="47" spans="1:10" ht="16.2" thickBot="1" x14ac:dyDescent="0.35">
      <c r="A47" s="1">
        <v>46</v>
      </c>
      <c r="B47" s="2">
        <f ca="1">AVERAGE(OFFSET('n=1'!$B$1,(ROW()-2)*$P$2+1,0,$P$2,1))</f>
        <v>51.5</v>
      </c>
      <c r="C47" s="18">
        <f t="shared" ca="1" si="3"/>
        <v>9.5</v>
      </c>
      <c r="D47" s="1">
        <f t="shared" ca="1" si="1"/>
        <v>44</v>
      </c>
      <c r="E47" s="1">
        <f t="shared" ca="1" si="0"/>
        <v>208</v>
      </c>
      <c r="F47" s="1">
        <f t="shared" ca="1" si="6"/>
        <v>4</v>
      </c>
      <c r="G47" s="1">
        <f t="shared" ca="1" si="7"/>
        <v>0</v>
      </c>
      <c r="H47" s="15">
        <f t="shared" si="2"/>
        <v>5</v>
      </c>
      <c r="I47" s="1"/>
      <c r="J47" s="2"/>
    </row>
    <row r="48" spans="1:10" ht="16.2" thickBot="1" x14ac:dyDescent="0.35">
      <c r="A48" s="1">
        <v>47</v>
      </c>
      <c r="B48" s="2">
        <f ca="1">AVERAGE(OFFSET('n=1'!$B$1,(ROW()-2)*$P$2+1,0,$P$2,1))</f>
        <v>53.5</v>
      </c>
      <c r="C48" s="18">
        <f t="shared" ca="1" si="3"/>
        <v>13</v>
      </c>
      <c r="D48" s="1">
        <f t="shared" ca="1" si="1"/>
        <v>44.5</v>
      </c>
      <c r="E48" s="1">
        <f t="shared" ca="1" si="0"/>
        <v>207.5</v>
      </c>
      <c r="F48" s="1">
        <f t="shared" ca="1" si="6"/>
        <v>7</v>
      </c>
      <c r="G48" s="1">
        <f t="shared" ca="1" si="7"/>
        <v>0</v>
      </c>
      <c r="H48" s="15">
        <f t="shared" si="2"/>
        <v>5</v>
      </c>
      <c r="I48" s="1"/>
      <c r="J48" s="2"/>
    </row>
    <row r="49" spans="1:10" ht="16.2" thickBot="1" x14ac:dyDescent="0.35">
      <c r="A49" s="1">
        <v>48</v>
      </c>
      <c r="B49" s="2">
        <f ca="1">AVERAGE(OFFSET('n=1'!$B$1,(ROW()-2)*$P$2+1,0,$P$2,1))</f>
        <v>47</v>
      </c>
      <c r="C49" s="18">
        <f t="shared" ca="1" si="3"/>
        <v>10</v>
      </c>
      <c r="D49" s="1">
        <f t="shared" ca="1" si="1"/>
        <v>45</v>
      </c>
      <c r="E49" s="1">
        <f t="shared" ca="1" si="0"/>
        <v>207</v>
      </c>
      <c r="F49" s="1">
        <f t="shared" ca="1" si="6"/>
        <v>3.5</v>
      </c>
      <c r="G49" s="1">
        <f t="shared" ca="1" si="7"/>
        <v>2.5</v>
      </c>
      <c r="H49" s="15">
        <f t="shared" si="2"/>
        <v>5</v>
      </c>
      <c r="I49" s="1"/>
      <c r="J49" s="2"/>
    </row>
    <row r="50" spans="1:10" ht="16.2" thickBot="1" x14ac:dyDescent="0.35">
      <c r="A50" s="1">
        <v>49</v>
      </c>
      <c r="B50" s="2">
        <f ca="1">AVERAGE(OFFSET('n=1'!$B$1,(ROW()-2)*$P$2+1,0,$P$2,1))</f>
        <v>50.5</v>
      </c>
      <c r="C50" s="18">
        <f t="shared" ca="1" si="3"/>
        <v>10.5</v>
      </c>
      <c r="D50" s="1">
        <f t="shared" ca="1" si="1"/>
        <v>45.5</v>
      </c>
      <c r="E50" s="1">
        <f t="shared" ca="1" si="0"/>
        <v>206.5</v>
      </c>
      <c r="F50" s="1">
        <f t="shared" ca="1" si="6"/>
        <v>3.5</v>
      </c>
      <c r="G50" s="1">
        <f t="shared" ca="1" si="7"/>
        <v>1.5</v>
      </c>
      <c r="H50" s="15">
        <f t="shared" si="2"/>
        <v>5</v>
      </c>
      <c r="I50" s="1"/>
      <c r="J50" s="2"/>
    </row>
    <row r="51" spans="1:10" ht="16.2" thickBot="1" x14ac:dyDescent="0.35">
      <c r="A51" s="1">
        <v>50</v>
      </c>
      <c r="B51" s="2">
        <f ca="1">AVERAGE(OFFSET('n=1'!$B$1,(ROW()-2)*$P$2+1,0,$P$2,1))</f>
        <v>51</v>
      </c>
      <c r="C51" s="18">
        <f t="shared" ca="1" si="3"/>
        <v>11.5</v>
      </c>
      <c r="D51" s="1">
        <f t="shared" ca="1" si="1"/>
        <v>46</v>
      </c>
      <c r="E51" s="1">
        <f t="shared" ca="1" si="0"/>
        <v>206</v>
      </c>
      <c r="F51" s="1">
        <f t="shared" ca="1" si="6"/>
        <v>4</v>
      </c>
      <c r="G51" s="1">
        <f t="shared" ca="1" si="7"/>
        <v>0</v>
      </c>
      <c r="H51" s="15">
        <f t="shared" si="2"/>
        <v>5</v>
      </c>
      <c r="I51" s="1"/>
      <c r="J51" s="2"/>
    </row>
    <row r="52" spans="1:10" ht="16.2" thickBot="1" x14ac:dyDescent="0.35">
      <c r="A52" s="1">
        <v>51</v>
      </c>
      <c r="B52" s="2">
        <f ca="1">AVERAGE(OFFSET('n=1'!$B$1,(ROW()-2)*$P$2+1,0,$P$2,1))</f>
        <v>50.5</v>
      </c>
      <c r="C52" s="18">
        <f t="shared" ca="1" si="3"/>
        <v>12</v>
      </c>
      <c r="D52" s="1">
        <f t="shared" ca="1" si="1"/>
        <v>46.5</v>
      </c>
      <c r="E52" s="1">
        <f t="shared" ca="1" si="0"/>
        <v>205.5</v>
      </c>
      <c r="F52" s="1">
        <f t="shared" ca="1" si="6"/>
        <v>4</v>
      </c>
      <c r="G52" s="1">
        <f t="shared" ca="1" si="7"/>
        <v>0</v>
      </c>
      <c r="H52" s="15">
        <f t="shared" si="2"/>
        <v>5</v>
      </c>
      <c r="I52" s="1"/>
      <c r="J52" s="2"/>
    </row>
    <row r="53" spans="1:10" ht="16.2" thickBot="1" x14ac:dyDescent="0.35">
      <c r="A53" s="1">
        <v>52</v>
      </c>
      <c r="B53" s="2">
        <f ca="1">AVERAGE(OFFSET('n=1'!$B$1,(ROW()-2)*$P$2+1,0,$P$2,1))</f>
        <v>49</v>
      </c>
      <c r="C53" s="18">
        <f t="shared" ca="1" si="3"/>
        <v>11</v>
      </c>
      <c r="D53" s="1">
        <f t="shared" ca="1" si="1"/>
        <v>47</v>
      </c>
      <c r="E53" s="1">
        <f t="shared" ca="1" si="0"/>
        <v>205</v>
      </c>
      <c r="F53" s="1">
        <f t="shared" ca="1" si="6"/>
        <v>2.5</v>
      </c>
      <c r="G53" s="1">
        <f t="shared" ca="1" si="7"/>
        <v>0.5</v>
      </c>
      <c r="H53" s="15">
        <f t="shared" si="2"/>
        <v>5</v>
      </c>
      <c r="I53" s="1"/>
      <c r="J53" s="2"/>
    </row>
    <row r="54" spans="1:10" ht="16.2" thickBot="1" x14ac:dyDescent="0.35">
      <c r="A54" s="1">
        <v>53</v>
      </c>
      <c r="B54" s="2">
        <f ca="1">AVERAGE(OFFSET('n=1'!$B$1,(ROW()-2)*$P$2+1,0,$P$2,1))</f>
        <v>47</v>
      </c>
      <c r="C54" s="18">
        <f t="shared" ca="1" si="3"/>
        <v>8</v>
      </c>
      <c r="D54" s="1">
        <f t="shared" ca="1" si="1"/>
        <v>47.5</v>
      </c>
      <c r="E54" s="1">
        <f t="shared" ca="1" si="0"/>
        <v>204.5</v>
      </c>
      <c r="F54" s="1">
        <f t="shared" ca="1" si="6"/>
        <v>0</v>
      </c>
      <c r="G54" s="1">
        <f t="shared" ca="1" si="7"/>
        <v>3</v>
      </c>
      <c r="H54" s="15">
        <f t="shared" si="2"/>
        <v>5</v>
      </c>
      <c r="I54" s="1"/>
      <c r="J54" s="2"/>
    </row>
    <row r="55" spans="1:10" ht="16.2" thickBot="1" x14ac:dyDescent="0.35">
      <c r="A55" s="1">
        <v>54</v>
      </c>
      <c r="B55" s="2">
        <f ca="1">AVERAGE(OFFSET('n=1'!$B$1,(ROW()-2)*$P$2+1,0,$P$2,1))</f>
        <v>51</v>
      </c>
      <c r="C55" s="18">
        <f t="shared" ca="1" si="3"/>
        <v>9</v>
      </c>
      <c r="D55" s="1">
        <f t="shared" ca="1" si="1"/>
        <v>48</v>
      </c>
      <c r="E55" s="1">
        <f t="shared" ca="1" si="0"/>
        <v>204</v>
      </c>
      <c r="F55" s="1">
        <f t="shared" ca="1" si="6"/>
        <v>0.5</v>
      </c>
      <c r="G55" s="1">
        <f t="shared" ca="1" si="7"/>
        <v>1.5</v>
      </c>
      <c r="H55" s="15">
        <f t="shared" si="2"/>
        <v>5</v>
      </c>
      <c r="I55" s="1"/>
      <c r="J55" s="2"/>
    </row>
    <row r="56" spans="1:10" ht="16.2" thickBot="1" x14ac:dyDescent="0.35">
      <c r="A56" s="1">
        <v>55</v>
      </c>
      <c r="B56" s="2">
        <f ca="1">AVERAGE(OFFSET('n=1'!$B$1,(ROW()-2)*$P$2+1,0,$P$2,1))</f>
        <v>49</v>
      </c>
      <c r="C56" s="18">
        <f t="shared" ca="1" si="3"/>
        <v>8</v>
      </c>
      <c r="D56" s="1">
        <f t="shared" ca="1" si="1"/>
        <v>48.5</v>
      </c>
      <c r="E56" s="1">
        <f t="shared" ca="1" si="0"/>
        <v>203.5</v>
      </c>
      <c r="F56" s="1">
        <f t="shared" ca="1" si="6"/>
        <v>0</v>
      </c>
      <c r="G56" s="1">
        <f t="shared" ca="1" si="7"/>
        <v>2</v>
      </c>
      <c r="H56" s="15">
        <f t="shared" si="2"/>
        <v>5</v>
      </c>
      <c r="I56" s="1"/>
      <c r="J56" s="2"/>
    </row>
    <row r="57" spans="1:10" ht="16.2" thickBot="1" x14ac:dyDescent="0.35">
      <c r="A57" s="1">
        <v>56</v>
      </c>
      <c r="B57" s="2">
        <f ca="1">AVERAGE(OFFSET('n=1'!$B$1,(ROW()-2)*$P$2+1,0,$P$2,1))</f>
        <v>49.5</v>
      </c>
      <c r="C57" s="18">
        <f t="shared" ca="1" si="3"/>
        <v>7.5</v>
      </c>
      <c r="D57" s="1">
        <f t="shared" ca="1" si="1"/>
        <v>49</v>
      </c>
      <c r="E57" s="1">
        <f t="shared" ca="1" si="0"/>
        <v>203</v>
      </c>
      <c r="F57" s="1">
        <f t="shared" ca="1" si="6"/>
        <v>0</v>
      </c>
      <c r="G57" s="1">
        <f t="shared" ca="1" si="7"/>
        <v>2</v>
      </c>
      <c r="H57" s="15">
        <f t="shared" si="2"/>
        <v>5</v>
      </c>
      <c r="I57" s="1"/>
      <c r="J57" s="2"/>
    </row>
    <row r="58" spans="1:10" ht="16.2" thickBot="1" x14ac:dyDescent="0.35">
      <c r="A58" s="1">
        <v>57</v>
      </c>
      <c r="B58" s="2">
        <f ca="1">AVERAGE(OFFSET('n=1'!$B$1,(ROW()-2)*$P$2+1,0,$P$2,1))</f>
        <v>51.5</v>
      </c>
      <c r="C58" s="18">
        <f t="shared" ca="1" si="3"/>
        <v>9</v>
      </c>
      <c r="D58" s="1">
        <f t="shared" ca="1" si="1"/>
        <v>49.5</v>
      </c>
      <c r="E58" s="1">
        <f t="shared" ca="1" si="0"/>
        <v>202.5</v>
      </c>
      <c r="F58" s="1">
        <f t="shared" ca="1" si="6"/>
        <v>1</v>
      </c>
      <c r="G58" s="1">
        <f t="shared" ca="1" si="7"/>
        <v>0</v>
      </c>
      <c r="H58" s="15">
        <f t="shared" si="2"/>
        <v>5</v>
      </c>
      <c r="I58" s="1"/>
      <c r="J58" s="2"/>
    </row>
    <row r="59" spans="1:10" ht="16.2" thickBot="1" x14ac:dyDescent="0.35">
      <c r="A59" s="1">
        <v>58</v>
      </c>
      <c r="B59" s="2">
        <f ca="1">AVERAGE(OFFSET('n=1'!$B$1,(ROW()-2)*$P$2+1,0,$P$2,1))</f>
        <v>47.5</v>
      </c>
      <c r="C59" s="18">
        <f t="shared" ca="1" si="3"/>
        <v>6.5</v>
      </c>
      <c r="D59" s="1">
        <f t="shared" ca="1" si="1"/>
        <v>50</v>
      </c>
      <c r="E59" s="1">
        <f t="shared" ca="1" si="0"/>
        <v>202</v>
      </c>
      <c r="F59" s="1">
        <f t="shared" ca="1" si="6"/>
        <v>0</v>
      </c>
      <c r="G59" s="1">
        <f t="shared" ca="1" si="7"/>
        <v>2</v>
      </c>
      <c r="H59" s="15">
        <f t="shared" si="2"/>
        <v>5</v>
      </c>
      <c r="I59" s="1"/>
      <c r="J59" s="2"/>
    </row>
    <row r="60" spans="1:10" ht="16.2" thickBot="1" x14ac:dyDescent="0.35">
      <c r="A60" s="1">
        <v>59</v>
      </c>
      <c r="B60" s="2">
        <f ca="1">AVERAGE(OFFSET('n=1'!$B$1,(ROW()-2)*$P$2+1,0,$P$2,1))</f>
        <v>54</v>
      </c>
      <c r="C60" s="18">
        <f t="shared" ca="1" si="3"/>
        <v>10.5</v>
      </c>
      <c r="D60" s="1">
        <f t="shared" ca="1" si="1"/>
        <v>50.5</v>
      </c>
      <c r="E60" s="1">
        <f t="shared" ca="1" si="0"/>
        <v>201.5</v>
      </c>
      <c r="F60" s="1">
        <f t="shared" ca="1" si="6"/>
        <v>3.5</v>
      </c>
      <c r="G60" s="1">
        <f t="shared" ca="1" si="7"/>
        <v>0</v>
      </c>
      <c r="H60" s="15">
        <f t="shared" si="2"/>
        <v>5</v>
      </c>
      <c r="I60" s="1"/>
      <c r="J60" s="2"/>
    </row>
    <row r="61" spans="1:10" ht="16.2" thickBot="1" x14ac:dyDescent="0.35">
      <c r="A61" s="1">
        <v>60</v>
      </c>
      <c r="B61" s="2">
        <f ca="1">AVERAGE(OFFSET('n=1'!$B$1,(ROW()-2)*$P$2+1,0,$P$2,1))</f>
        <v>51</v>
      </c>
      <c r="C61" s="18">
        <f t="shared" ca="1" si="3"/>
        <v>11.5</v>
      </c>
      <c r="D61" s="1">
        <f t="shared" ca="1" si="1"/>
        <v>51</v>
      </c>
      <c r="E61" s="1">
        <f t="shared" ca="1" si="0"/>
        <v>201</v>
      </c>
      <c r="F61" s="1">
        <f t="shared" ca="1" si="6"/>
        <v>4</v>
      </c>
      <c r="G61" s="1">
        <f t="shared" ca="1" si="7"/>
        <v>0</v>
      </c>
      <c r="H61" s="15">
        <f t="shared" si="2"/>
        <v>5</v>
      </c>
      <c r="I61" s="1"/>
      <c r="J61" s="2"/>
    </row>
    <row r="62" spans="1:10" ht="16.2" thickBot="1" x14ac:dyDescent="0.35">
      <c r="A62" s="1">
        <v>61</v>
      </c>
      <c r="B62" s="2">
        <f ca="1">AVERAGE(OFFSET('n=1'!$B$1,(ROW()-2)*$P$2+1,0,$P$2,1))</f>
        <v>49</v>
      </c>
      <c r="C62" s="18">
        <f t="shared" ca="1" si="3"/>
        <v>10.5</v>
      </c>
      <c r="D62" s="1">
        <f t="shared" ca="1" si="1"/>
        <v>51.5</v>
      </c>
      <c r="E62" s="1">
        <f t="shared" ca="1" si="0"/>
        <v>200.5</v>
      </c>
      <c r="F62" s="1">
        <f t="shared" ca="1" si="6"/>
        <v>2.5</v>
      </c>
      <c r="G62" s="1">
        <f t="shared" ca="1" si="7"/>
        <v>0.5</v>
      </c>
      <c r="H62" s="15">
        <f t="shared" si="2"/>
        <v>5</v>
      </c>
      <c r="I62" s="1"/>
      <c r="J62" s="2"/>
    </row>
    <row r="63" spans="1:10" ht="16.2" thickBot="1" x14ac:dyDescent="0.35">
      <c r="A63" s="1">
        <v>62</v>
      </c>
      <c r="B63" s="2">
        <f ca="1">AVERAGE(OFFSET('n=1'!$B$1,(ROW()-2)*$P$2+1,0,$P$2,1))</f>
        <v>51</v>
      </c>
      <c r="C63" s="18">
        <f t="shared" ca="1" si="3"/>
        <v>11.5</v>
      </c>
      <c r="D63" s="1">
        <f t="shared" ca="1" si="1"/>
        <v>52</v>
      </c>
      <c r="E63" s="1">
        <f t="shared" ca="1" si="0"/>
        <v>200</v>
      </c>
      <c r="F63" s="1">
        <f t="shared" ca="1" si="6"/>
        <v>3</v>
      </c>
      <c r="G63" s="1">
        <f t="shared" ca="1" si="7"/>
        <v>0</v>
      </c>
      <c r="H63" s="15">
        <f t="shared" si="2"/>
        <v>5</v>
      </c>
      <c r="I63" s="1"/>
      <c r="J63" s="2"/>
    </row>
    <row r="64" spans="1:10" ht="16.2" thickBot="1" x14ac:dyDescent="0.35">
      <c r="A64" s="1">
        <v>63</v>
      </c>
      <c r="B64" s="2">
        <f ca="1">AVERAGE(OFFSET('n=1'!$B$1,(ROW()-2)*$P$2+1,0,$P$2,1))</f>
        <v>52.5</v>
      </c>
      <c r="C64" s="18">
        <f t="shared" ca="1" si="3"/>
        <v>14</v>
      </c>
      <c r="D64" s="1">
        <f t="shared" ca="1" si="1"/>
        <v>52.5</v>
      </c>
      <c r="E64" s="1">
        <f t="shared" ca="1" si="0"/>
        <v>199.5</v>
      </c>
      <c r="F64" s="1">
        <f t="shared" ca="1" si="6"/>
        <v>5</v>
      </c>
      <c r="G64" s="1">
        <f t="shared" ca="1" si="7"/>
        <v>0</v>
      </c>
      <c r="H64" s="15">
        <f t="shared" si="2"/>
        <v>5</v>
      </c>
      <c r="I64" s="1"/>
      <c r="J64" s="2"/>
    </row>
    <row r="65" spans="1:10" ht="16.2" thickBot="1" x14ac:dyDescent="0.35">
      <c r="A65" s="1">
        <v>64</v>
      </c>
      <c r="B65" s="2">
        <f ca="1">AVERAGE(OFFSET('n=1'!$B$1,(ROW()-2)*$P$2+1,0,$P$2,1))</f>
        <v>52</v>
      </c>
      <c r="C65" s="18">
        <f t="shared" ca="1" si="3"/>
        <v>16</v>
      </c>
      <c r="D65" s="1">
        <f t="shared" ca="1" si="1"/>
        <v>53</v>
      </c>
      <c r="E65" s="1">
        <f t="shared" ca="1" si="0"/>
        <v>199</v>
      </c>
      <c r="F65" s="1">
        <f t="shared" ca="1" si="6"/>
        <v>6.5</v>
      </c>
      <c r="G65" s="1">
        <f t="shared" ca="1" si="7"/>
        <v>0</v>
      </c>
      <c r="H65" s="15">
        <f t="shared" si="2"/>
        <v>5</v>
      </c>
      <c r="I65" s="1"/>
      <c r="J65" s="2"/>
    </row>
    <row r="66" spans="1:10" ht="16.2" thickBot="1" x14ac:dyDescent="0.35">
      <c r="A66" s="1">
        <v>65</v>
      </c>
      <c r="B66" s="2">
        <f ca="1">AVERAGE(OFFSET('n=1'!$B$1,(ROW()-2)*$P$2+1,0,$P$2,1))</f>
        <v>52</v>
      </c>
      <c r="C66" s="18">
        <f t="shared" ca="1" si="3"/>
        <v>18</v>
      </c>
      <c r="D66" s="1">
        <f t="shared" ref="D66:D129" ca="1" si="8">D67-$M$2</f>
        <v>53.5</v>
      </c>
      <c r="E66" s="1">
        <f t="shared" ref="E66:E129" ca="1" si="9">E67+$M$2</f>
        <v>198.5</v>
      </c>
      <c r="F66" s="1">
        <f t="shared" ca="1" si="6"/>
        <v>8</v>
      </c>
      <c r="G66" s="1">
        <f t="shared" ca="1" si="7"/>
        <v>0</v>
      </c>
      <c r="H66" s="15">
        <f t="shared" si="2"/>
        <v>5</v>
      </c>
      <c r="I66" s="1"/>
      <c r="J66" s="2"/>
    </row>
    <row r="67" spans="1:10" ht="16.2" thickBot="1" x14ac:dyDescent="0.35">
      <c r="A67" s="1">
        <v>66</v>
      </c>
      <c r="B67" s="2">
        <f ca="1">AVERAGE(OFFSET('n=1'!$B$1,(ROW()-2)*$P$2+1,0,$P$2,1))</f>
        <v>47.5</v>
      </c>
      <c r="C67" s="18">
        <f t="shared" ca="1" si="3"/>
        <v>15.5</v>
      </c>
      <c r="D67" s="1">
        <f t="shared" ca="1" si="8"/>
        <v>54</v>
      </c>
      <c r="E67" s="1">
        <f t="shared" ca="1" si="9"/>
        <v>198</v>
      </c>
      <c r="F67" s="1">
        <f t="shared" ca="1" si="6"/>
        <v>5</v>
      </c>
      <c r="G67" s="1">
        <f t="shared" ca="1" si="7"/>
        <v>2</v>
      </c>
      <c r="H67" s="15">
        <f t="shared" ref="H67:H130" si="10">$O$2</f>
        <v>5</v>
      </c>
      <c r="I67" s="1"/>
      <c r="J67" s="2"/>
    </row>
    <row r="68" spans="1:10" ht="16.2" thickBot="1" x14ac:dyDescent="0.35">
      <c r="A68" s="1">
        <v>67</v>
      </c>
      <c r="B68" s="2">
        <f ca="1">AVERAGE(OFFSET('n=1'!$B$1,(ROW()-2)*$P$2+1,0,$P$2,1))</f>
        <v>51</v>
      </c>
      <c r="C68" s="18">
        <f t="shared" ref="C68:C131" ca="1" si="11">B68-$L$2+C67</f>
        <v>16.5</v>
      </c>
      <c r="D68" s="1">
        <f t="shared" ca="1" si="8"/>
        <v>54.5</v>
      </c>
      <c r="E68" s="1">
        <f t="shared" ca="1" si="9"/>
        <v>197.5</v>
      </c>
      <c r="F68" s="1">
        <f t="shared" ca="1" si="6"/>
        <v>5.5</v>
      </c>
      <c r="G68" s="1">
        <f t="shared" ca="1" si="7"/>
        <v>0.5</v>
      </c>
      <c r="H68" s="15">
        <f t="shared" si="10"/>
        <v>5</v>
      </c>
      <c r="I68" s="1"/>
      <c r="J68" s="2"/>
    </row>
    <row r="69" spans="1:10" ht="16.2" thickBot="1" x14ac:dyDescent="0.35">
      <c r="A69" s="1">
        <v>68</v>
      </c>
      <c r="B69" s="2">
        <f ca="1">AVERAGE(OFFSET('n=1'!$B$1,(ROW()-2)*$P$2+1,0,$P$2,1))</f>
        <v>46</v>
      </c>
      <c r="C69" s="18">
        <f t="shared" ca="1" si="11"/>
        <v>12.5</v>
      </c>
      <c r="D69" s="1">
        <f t="shared" ca="1" si="8"/>
        <v>55</v>
      </c>
      <c r="E69" s="1">
        <f t="shared" ca="1" si="9"/>
        <v>197</v>
      </c>
      <c r="F69" s="1">
        <f t="shared" ca="1" si="6"/>
        <v>1</v>
      </c>
      <c r="G69" s="1">
        <f t="shared" ca="1" si="7"/>
        <v>4</v>
      </c>
      <c r="H69" s="15">
        <f t="shared" si="10"/>
        <v>5</v>
      </c>
      <c r="I69" s="1"/>
      <c r="J69" s="2"/>
    </row>
    <row r="70" spans="1:10" ht="16.2" thickBot="1" x14ac:dyDescent="0.35">
      <c r="A70" s="1">
        <v>69</v>
      </c>
      <c r="B70" s="2">
        <f ca="1">AVERAGE(OFFSET('n=1'!$B$1,(ROW()-2)*$P$2+1,0,$P$2,1))</f>
        <v>50.5</v>
      </c>
      <c r="C70" s="18">
        <f t="shared" ca="1" si="11"/>
        <v>13</v>
      </c>
      <c r="D70" s="1">
        <f t="shared" ca="1" si="8"/>
        <v>55.5</v>
      </c>
      <c r="E70" s="1">
        <f t="shared" ca="1" si="9"/>
        <v>196.5</v>
      </c>
      <c r="F70" s="1">
        <f t="shared" ca="1" si="6"/>
        <v>1</v>
      </c>
      <c r="G70" s="1">
        <f t="shared" ca="1" si="7"/>
        <v>3</v>
      </c>
      <c r="H70" s="15">
        <f t="shared" si="10"/>
        <v>5</v>
      </c>
      <c r="I70" s="1"/>
      <c r="J70" s="2"/>
    </row>
    <row r="71" spans="1:10" ht="16.2" thickBot="1" x14ac:dyDescent="0.35">
      <c r="A71" s="1">
        <v>70</v>
      </c>
      <c r="B71" s="2">
        <f ca="1">AVERAGE(OFFSET('n=1'!$B$1,(ROW()-2)*$P$2+1,0,$P$2,1))</f>
        <v>46.5</v>
      </c>
      <c r="C71" s="18">
        <f t="shared" ca="1" si="11"/>
        <v>9.5</v>
      </c>
      <c r="D71" s="1">
        <f t="shared" ca="1" si="8"/>
        <v>56</v>
      </c>
      <c r="E71" s="1">
        <f t="shared" ca="1" si="9"/>
        <v>196</v>
      </c>
      <c r="F71" s="1">
        <f t="shared" ca="1" si="6"/>
        <v>0</v>
      </c>
      <c r="G71" s="1">
        <f t="shared" ca="1" si="7"/>
        <v>6</v>
      </c>
      <c r="H71" s="15">
        <f t="shared" si="10"/>
        <v>5</v>
      </c>
      <c r="I71" s="1"/>
      <c r="J71" s="2"/>
    </row>
    <row r="72" spans="1:10" ht="16.2" thickBot="1" x14ac:dyDescent="0.35">
      <c r="A72" s="1">
        <v>71</v>
      </c>
      <c r="B72" s="2">
        <f ca="1">AVERAGE(OFFSET('n=1'!$B$1,(ROW()-2)*$P$2+1,0,$P$2,1))</f>
        <v>51.5</v>
      </c>
      <c r="C72" s="18">
        <f t="shared" ca="1" si="11"/>
        <v>11</v>
      </c>
      <c r="D72" s="1">
        <f t="shared" ca="1" si="8"/>
        <v>56.5</v>
      </c>
      <c r="E72" s="1">
        <f t="shared" ca="1" si="9"/>
        <v>195.5</v>
      </c>
      <c r="F72" s="1">
        <f t="shared" ca="1" si="6"/>
        <v>1</v>
      </c>
      <c r="G72" s="1">
        <f t="shared" ca="1" si="7"/>
        <v>4</v>
      </c>
      <c r="H72" s="15">
        <f t="shared" si="10"/>
        <v>5</v>
      </c>
      <c r="I72" s="1"/>
      <c r="J72" s="2"/>
    </row>
    <row r="73" spans="1:10" ht="16.2" thickBot="1" x14ac:dyDescent="0.35">
      <c r="A73" s="1">
        <v>72</v>
      </c>
      <c r="B73" s="2">
        <f ca="1">AVERAGE(OFFSET('n=1'!$B$1,(ROW()-2)*$P$2+1,0,$P$2,1))</f>
        <v>52.5</v>
      </c>
      <c r="C73" s="18">
        <f t="shared" ca="1" si="11"/>
        <v>13.5</v>
      </c>
      <c r="D73" s="1">
        <f t="shared" ca="1" si="8"/>
        <v>57</v>
      </c>
      <c r="E73" s="1">
        <f t="shared" ca="1" si="9"/>
        <v>195</v>
      </c>
      <c r="F73" s="1">
        <f t="shared" ca="1" si="6"/>
        <v>3</v>
      </c>
      <c r="G73" s="1">
        <f t="shared" ca="1" si="7"/>
        <v>1</v>
      </c>
      <c r="H73" s="15">
        <f t="shared" si="10"/>
        <v>5</v>
      </c>
      <c r="I73" s="1"/>
      <c r="J73" s="2"/>
    </row>
    <row r="74" spans="1:10" ht="16.2" thickBot="1" x14ac:dyDescent="0.35">
      <c r="A74" s="1">
        <v>73</v>
      </c>
      <c r="B74" s="2">
        <f ca="1">AVERAGE(OFFSET('n=1'!$B$1,(ROW()-2)*$P$2+1,0,$P$2,1))</f>
        <v>51.5</v>
      </c>
      <c r="C74" s="18">
        <f t="shared" ca="1" si="11"/>
        <v>15</v>
      </c>
      <c r="D74" s="1">
        <f t="shared" ca="1" si="8"/>
        <v>57.5</v>
      </c>
      <c r="E74" s="1">
        <f t="shared" ca="1" si="9"/>
        <v>194.5</v>
      </c>
      <c r="F74" s="1">
        <f t="shared" ca="1" si="6"/>
        <v>4</v>
      </c>
      <c r="G74" s="1">
        <f t="shared" ca="1" si="7"/>
        <v>0</v>
      </c>
      <c r="H74" s="15">
        <f t="shared" si="10"/>
        <v>5</v>
      </c>
      <c r="I74" s="1"/>
      <c r="J74" s="2"/>
    </row>
    <row r="75" spans="1:10" ht="16.2" thickBot="1" x14ac:dyDescent="0.35">
      <c r="A75" s="1">
        <v>74</v>
      </c>
      <c r="B75" s="2">
        <f ca="1">AVERAGE(OFFSET('n=1'!$B$1,(ROW()-2)*$P$2+1,0,$P$2,1))</f>
        <v>50</v>
      </c>
      <c r="C75" s="18">
        <f t="shared" ca="1" si="11"/>
        <v>15</v>
      </c>
      <c r="D75" s="1">
        <f t="shared" ca="1" si="8"/>
        <v>58</v>
      </c>
      <c r="E75" s="1">
        <f t="shared" ca="1" si="9"/>
        <v>194</v>
      </c>
      <c r="F75" s="1">
        <f t="shared" ca="1" si="6"/>
        <v>3.5</v>
      </c>
      <c r="G75" s="1">
        <f t="shared" ca="1" si="7"/>
        <v>0</v>
      </c>
      <c r="H75" s="15">
        <f t="shared" si="10"/>
        <v>5</v>
      </c>
      <c r="I75" s="1"/>
      <c r="J75" s="2"/>
    </row>
    <row r="76" spans="1:10" ht="16.2" thickBot="1" x14ac:dyDescent="0.35">
      <c r="A76" s="1">
        <v>75</v>
      </c>
      <c r="B76" s="2">
        <f ca="1">AVERAGE(OFFSET('n=1'!$B$1,(ROW()-2)*$P$2+1,0,$P$2,1))</f>
        <v>49</v>
      </c>
      <c r="C76" s="18">
        <f t="shared" ca="1" si="11"/>
        <v>14</v>
      </c>
      <c r="D76" s="1">
        <f t="shared" ca="1" si="8"/>
        <v>58.5</v>
      </c>
      <c r="E76" s="1">
        <f t="shared" ca="1" si="9"/>
        <v>193.5</v>
      </c>
      <c r="F76" s="1">
        <f t="shared" ca="1" si="6"/>
        <v>2</v>
      </c>
      <c r="G76" s="1">
        <f t="shared" ca="1" si="7"/>
        <v>0.5</v>
      </c>
      <c r="H76" s="15">
        <f t="shared" si="10"/>
        <v>5</v>
      </c>
      <c r="I76" s="1"/>
      <c r="J76" s="2"/>
    </row>
    <row r="77" spans="1:10" ht="16.2" thickBot="1" x14ac:dyDescent="0.35">
      <c r="A77" s="1">
        <v>76</v>
      </c>
      <c r="B77" s="2">
        <f ca="1">AVERAGE(OFFSET('n=1'!$B$1,(ROW()-2)*$P$2+1,0,$P$2,1))</f>
        <v>47</v>
      </c>
      <c r="C77" s="18">
        <f t="shared" ca="1" si="11"/>
        <v>11</v>
      </c>
      <c r="D77" s="1">
        <f t="shared" ca="1" si="8"/>
        <v>59</v>
      </c>
      <c r="E77" s="1">
        <f t="shared" ca="1" si="9"/>
        <v>193</v>
      </c>
      <c r="F77" s="1">
        <f t="shared" ca="1" si="6"/>
        <v>0</v>
      </c>
      <c r="G77" s="1">
        <f t="shared" ca="1" si="7"/>
        <v>3</v>
      </c>
      <c r="H77" s="15">
        <f t="shared" si="10"/>
        <v>5</v>
      </c>
      <c r="I77" s="1"/>
      <c r="J77" s="2"/>
    </row>
    <row r="78" spans="1:10" ht="16.2" thickBot="1" x14ac:dyDescent="0.35">
      <c r="A78" s="1">
        <v>77</v>
      </c>
      <c r="B78" s="2">
        <f ca="1">AVERAGE(OFFSET('n=1'!$B$1,(ROW()-2)*$P$2+1,0,$P$2,1))</f>
        <v>50</v>
      </c>
      <c r="C78" s="18">
        <f t="shared" ca="1" si="11"/>
        <v>11</v>
      </c>
      <c r="D78" s="1">
        <f t="shared" ca="1" si="8"/>
        <v>59.5</v>
      </c>
      <c r="E78" s="1">
        <f t="shared" ca="1" si="9"/>
        <v>192.5</v>
      </c>
      <c r="F78" s="1">
        <f t="shared" ca="1" si="6"/>
        <v>0</v>
      </c>
      <c r="G78" s="1">
        <f t="shared" ca="1" si="7"/>
        <v>2.5</v>
      </c>
      <c r="H78" s="15">
        <f t="shared" si="10"/>
        <v>5</v>
      </c>
      <c r="I78" s="1"/>
      <c r="J78" s="2"/>
    </row>
    <row r="79" spans="1:10" ht="16.2" thickBot="1" x14ac:dyDescent="0.35">
      <c r="A79" s="1">
        <v>78</v>
      </c>
      <c r="B79" s="2">
        <f ca="1">AVERAGE(OFFSET('n=1'!$B$1,(ROW()-2)*$P$2+1,0,$P$2,1))</f>
        <v>49</v>
      </c>
      <c r="C79" s="18">
        <f t="shared" ca="1" si="11"/>
        <v>10</v>
      </c>
      <c r="D79" s="1">
        <f t="shared" ca="1" si="8"/>
        <v>60</v>
      </c>
      <c r="E79" s="1">
        <f t="shared" ca="1" si="9"/>
        <v>192</v>
      </c>
      <c r="F79" s="1">
        <f t="shared" ca="1" si="6"/>
        <v>0</v>
      </c>
      <c r="G79" s="1">
        <f t="shared" ca="1" si="7"/>
        <v>3</v>
      </c>
      <c r="H79" s="15">
        <f t="shared" si="10"/>
        <v>5</v>
      </c>
      <c r="I79" s="1"/>
      <c r="J79" s="2"/>
    </row>
    <row r="80" spans="1:10" ht="16.2" thickBot="1" x14ac:dyDescent="0.35">
      <c r="A80" s="1">
        <v>79</v>
      </c>
      <c r="B80" s="2">
        <f ca="1">AVERAGE(OFFSET('n=1'!$B$1,(ROW()-2)*$P$2+1,0,$P$2,1))</f>
        <v>47</v>
      </c>
      <c r="C80" s="18">
        <f t="shared" ca="1" si="11"/>
        <v>7</v>
      </c>
      <c r="D80" s="1">
        <f t="shared" ca="1" si="8"/>
        <v>60.5</v>
      </c>
      <c r="E80" s="1">
        <f t="shared" ca="1" si="9"/>
        <v>191.5</v>
      </c>
      <c r="F80" s="1">
        <f t="shared" ca="1" si="6"/>
        <v>0</v>
      </c>
      <c r="G80" s="1">
        <f t="shared" ca="1" si="7"/>
        <v>5.5</v>
      </c>
      <c r="H80" s="15">
        <f t="shared" si="10"/>
        <v>5</v>
      </c>
      <c r="I80" s="1"/>
      <c r="J80" s="2"/>
    </row>
    <row r="81" spans="1:10" ht="16.2" thickBot="1" x14ac:dyDescent="0.35">
      <c r="A81" s="1">
        <v>80</v>
      </c>
      <c r="B81" s="2">
        <f ca="1">AVERAGE(OFFSET('n=1'!$B$1,(ROW()-2)*$P$2+1,0,$P$2,1))</f>
        <v>50</v>
      </c>
      <c r="C81" s="18">
        <f t="shared" ca="1" si="11"/>
        <v>7</v>
      </c>
      <c r="D81" s="1">
        <f t="shared" ca="1" si="8"/>
        <v>61</v>
      </c>
      <c r="E81" s="1">
        <f t="shared" ca="1" si="9"/>
        <v>191</v>
      </c>
      <c r="F81" s="1">
        <f t="shared" ca="1" si="6"/>
        <v>0</v>
      </c>
      <c r="G81" s="1">
        <f t="shared" ca="1" si="7"/>
        <v>5</v>
      </c>
      <c r="H81" s="15">
        <f t="shared" si="10"/>
        <v>5</v>
      </c>
      <c r="I81" s="1"/>
      <c r="J81" s="2"/>
    </row>
    <row r="82" spans="1:10" ht="16.2" thickBot="1" x14ac:dyDescent="0.35">
      <c r="A82" s="1">
        <v>81</v>
      </c>
      <c r="B82" s="2">
        <f ca="1">AVERAGE(OFFSET('n=1'!$B$1,(ROW()-2)*$P$2+1,0,$P$2,1))</f>
        <v>50.5</v>
      </c>
      <c r="C82" s="18">
        <f t="shared" ca="1" si="11"/>
        <v>7.5</v>
      </c>
      <c r="D82" s="1">
        <f t="shared" ca="1" si="8"/>
        <v>61.5</v>
      </c>
      <c r="E82" s="1">
        <f t="shared" ca="1" si="9"/>
        <v>190.5</v>
      </c>
      <c r="F82" s="1">
        <f t="shared" ca="1" si="6"/>
        <v>0</v>
      </c>
      <c r="G82" s="1">
        <f t="shared" ca="1" si="7"/>
        <v>4</v>
      </c>
      <c r="H82" s="15">
        <f t="shared" si="10"/>
        <v>5</v>
      </c>
      <c r="I82" s="1"/>
      <c r="J82" s="2"/>
    </row>
    <row r="83" spans="1:10" ht="16.2" thickBot="1" x14ac:dyDescent="0.35">
      <c r="A83" s="1">
        <v>82</v>
      </c>
      <c r="B83" s="2">
        <f ca="1">AVERAGE(OFFSET('n=1'!$B$1,(ROW()-2)*$P$2+1,0,$P$2,1))</f>
        <v>49.5</v>
      </c>
      <c r="C83" s="18">
        <f t="shared" ca="1" si="11"/>
        <v>7</v>
      </c>
      <c r="D83" s="1">
        <f t="shared" ca="1" si="8"/>
        <v>62</v>
      </c>
      <c r="E83" s="1">
        <f t="shared" ca="1" si="9"/>
        <v>190</v>
      </c>
      <c r="F83" s="1">
        <f t="shared" ca="1" si="6"/>
        <v>0</v>
      </c>
      <c r="G83" s="1">
        <f t="shared" ca="1" si="7"/>
        <v>4</v>
      </c>
      <c r="H83" s="15">
        <f t="shared" si="10"/>
        <v>5</v>
      </c>
      <c r="I83" s="1"/>
      <c r="J83" s="2"/>
    </row>
    <row r="84" spans="1:10" ht="16.2" thickBot="1" x14ac:dyDescent="0.35">
      <c r="A84" s="1">
        <v>83</v>
      </c>
      <c r="B84" s="2">
        <f ca="1">AVERAGE(OFFSET('n=1'!$B$1,(ROW()-2)*$P$2+1,0,$P$2,1))</f>
        <v>53.5</v>
      </c>
      <c r="C84" s="18">
        <f t="shared" ca="1" si="11"/>
        <v>10.5</v>
      </c>
      <c r="D84" s="1">
        <f t="shared" ca="1" si="8"/>
        <v>62.5</v>
      </c>
      <c r="E84" s="1">
        <f t="shared" ca="1" si="9"/>
        <v>189.5</v>
      </c>
      <c r="F84" s="1">
        <f t="shared" ca="1" si="6"/>
        <v>3</v>
      </c>
      <c r="G84" s="1">
        <f t="shared" ca="1" si="7"/>
        <v>0</v>
      </c>
      <c r="H84" s="15">
        <f t="shared" si="10"/>
        <v>5</v>
      </c>
      <c r="I84" s="1"/>
      <c r="J84" s="2"/>
    </row>
    <row r="85" spans="1:10" ht="16.2" thickBot="1" x14ac:dyDescent="0.35">
      <c r="A85" s="1">
        <v>84</v>
      </c>
      <c r="B85" s="2">
        <f ca="1">AVERAGE(OFFSET('n=1'!$B$1,(ROW()-2)*$P$2+1,0,$P$2,1))</f>
        <v>53.5</v>
      </c>
      <c r="C85" s="18">
        <f t="shared" ca="1" si="11"/>
        <v>14</v>
      </c>
      <c r="D85" s="1">
        <f t="shared" ca="1" si="8"/>
        <v>63</v>
      </c>
      <c r="E85" s="1">
        <f t="shared" ca="1" si="9"/>
        <v>189</v>
      </c>
      <c r="F85" s="1">
        <f t="shared" ca="1" si="6"/>
        <v>6</v>
      </c>
      <c r="G85" s="1">
        <f t="shared" ca="1" si="7"/>
        <v>0</v>
      </c>
      <c r="H85" s="15">
        <f t="shared" si="10"/>
        <v>5</v>
      </c>
      <c r="I85" s="1"/>
      <c r="J85" s="2"/>
    </row>
    <row r="86" spans="1:10" ht="16.2" thickBot="1" x14ac:dyDescent="0.35">
      <c r="A86" s="1">
        <v>85</v>
      </c>
      <c r="B86" s="2">
        <f ca="1">AVERAGE(OFFSET('n=1'!$B$1,(ROW()-2)*$P$2+1,0,$P$2,1))</f>
        <v>48.5</v>
      </c>
      <c r="C86" s="18">
        <f t="shared" ca="1" si="11"/>
        <v>12.5</v>
      </c>
      <c r="D86" s="1">
        <f t="shared" ca="1" si="8"/>
        <v>63.5</v>
      </c>
      <c r="E86" s="1">
        <f t="shared" ca="1" si="9"/>
        <v>188.5</v>
      </c>
      <c r="F86" s="1">
        <f t="shared" ca="1" si="6"/>
        <v>4</v>
      </c>
      <c r="G86" s="1">
        <f t="shared" ca="1" si="7"/>
        <v>1</v>
      </c>
      <c r="H86" s="15">
        <f t="shared" si="10"/>
        <v>5</v>
      </c>
      <c r="I86" s="1"/>
      <c r="J86" s="2"/>
    </row>
    <row r="87" spans="1:10" ht="16.2" thickBot="1" x14ac:dyDescent="0.35">
      <c r="A87" s="1">
        <v>86</v>
      </c>
      <c r="B87" s="2">
        <f ca="1">AVERAGE(OFFSET('n=1'!$B$1,(ROW()-2)*$P$2+1,0,$P$2,1))</f>
        <v>49.5</v>
      </c>
      <c r="C87" s="18">
        <f t="shared" ca="1" si="11"/>
        <v>12</v>
      </c>
      <c r="D87" s="1">
        <f t="shared" ca="1" si="8"/>
        <v>64</v>
      </c>
      <c r="E87" s="1">
        <f t="shared" ca="1" si="9"/>
        <v>188</v>
      </c>
      <c r="F87" s="1">
        <f t="shared" ca="1" si="6"/>
        <v>3</v>
      </c>
      <c r="G87" s="1">
        <f t="shared" ca="1" si="7"/>
        <v>1</v>
      </c>
      <c r="H87" s="15">
        <f t="shared" si="10"/>
        <v>5</v>
      </c>
      <c r="I87" s="1"/>
      <c r="J87" s="2"/>
    </row>
    <row r="88" spans="1:10" ht="16.2" thickBot="1" x14ac:dyDescent="0.35">
      <c r="A88" s="1">
        <v>87</v>
      </c>
      <c r="B88" s="2">
        <f ca="1">AVERAGE(OFFSET('n=1'!$B$1,(ROW()-2)*$P$2+1,0,$P$2,1))</f>
        <v>53.5</v>
      </c>
      <c r="C88" s="18">
        <f t="shared" ca="1" si="11"/>
        <v>15.5</v>
      </c>
      <c r="D88" s="1">
        <f t="shared" ca="1" si="8"/>
        <v>64.5</v>
      </c>
      <c r="E88" s="1">
        <f t="shared" ca="1" si="9"/>
        <v>187.5</v>
      </c>
      <c r="F88" s="1">
        <f t="shared" ca="1" si="6"/>
        <v>6</v>
      </c>
      <c r="G88" s="1">
        <f t="shared" ca="1" si="7"/>
        <v>0</v>
      </c>
      <c r="H88" s="15">
        <f t="shared" si="10"/>
        <v>5</v>
      </c>
      <c r="I88" s="1"/>
      <c r="J88" s="2"/>
    </row>
    <row r="89" spans="1:10" ht="16.2" thickBot="1" x14ac:dyDescent="0.35">
      <c r="A89" s="1">
        <v>88</v>
      </c>
      <c r="B89" s="2">
        <f ca="1">AVERAGE(OFFSET('n=1'!$B$1,(ROW()-2)*$P$2+1,0,$P$2,1))</f>
        <v>52</v>
      </c>
      <c r="C89" s="18">
        <f t="shared" ca="1" si="11"/>
        <v>17.5</v>
      </c>
      <c r="D89" s="1">
        <f t="shared" ca="1" si="8"/>
        <v>65</v>
      </c>
      <c r="E89" s="1">
        <f t="shared" ca="1" si="9"/>
        <v>187</v>
      </c>
      <c r="F89" s="1">
        <f t="shared" ca="1" si="6"/>
        <v>7.5</v>
      </c>
      <c r="G89" s="1">
        <f t="shared" ca="1" si="7"/>
        <v>0</v>
      </c>
      <c r="H89" s="15">
        <f t="shared" si="10"/>
        <v>5</v>
      </c>
      <c r="I89" s="1"/>
      <c r="J89" s="2"/>
    </row>
    <row r="90" spans="1:10" ht="16.2" thickBot="1" x14ac:dyDescent="0.35">
      <c r="A90" s="1">
        <v>89</v>
      </c>
      <c r="B90" s="2">
        <f ca="1">AVERAGE(OFFSET('n=1'!$B$1,(ROW()-2)*$P$2+1,0,$P$2,1))</f>
        <v>53</v>
      </c>
      <c r="C90" s="18">
        <f t="shared" ca="1" si="11"/>
        <v>20.5</v>
      </c>
      <c r="D90" s="1">
        <f t="shared" ca="1" si="8"/>
        <v>65.5</v>
      </c>
      <c r="E90" s="1">
        <f t="shared" ca="1" si="9"/>
        <v>186.5</v>
      </c>
      <c r="F90" s="1">
        <f t="shared" ca="1" si="6"/>
        <v>10</v>
      </c>
      <c r="G90" s="1">
        <f t="shared" ca="1" si="7"/>
        <v>0</v>
      </c>
      <c r="H90" s="15">
        <f t="shared" si="10"/>
        <v>5</v>
      </c>
      <c r="I90" s="1"/>
      <c r="J90" s="2"/>
    </row>
    <row r="91" spans="1:10" ht="16.2" thickBot="1" x14ac:dyDescent="0.35">
      <c r="A91" s="1">
        <v>90</v>
      </c>
      <c r="B91" s="2">
        <f ca="1">AVERAGE(OFFSET('n=1'!$B$1,(ROW()-2)*$P$2+1,0,$P$2,1))</f>
        <v>49.5</v>
      </c>
      <c r="C91" s="18">
        <f t="shared" ca="1" si="11"/>
        <v>20</v>
      </c>
      <c r="D91" s="1">
        <f t="shared" ca="1" si="8"/>
        <v>66</v>
      </c>
      <c r="E91" s="1">
        <f t="shared" ca="1" si="9"/>
        <v>186</v>
      </c>
      <c r="F91" s="1">
        <f t="shared" ca="1" si="6"/>
        <v>9</v>
      </c>
      <c r="G91" s="1">
        <f t="shared" ca="1" si="7"/>
        <v>0</v>
      </c>
      <c r="H91" s="15">
        <f t="shared" si="10"/>
        <v>5</v>
      </c>
      <c r="I91" s="1"/>
      <c r="J91" s="2"/>
    </row>
    <row r="92" spans="1:10" ht="16.2" thickBot="1" x14ac:dyDescent="0.35">
      <c r="A92" s="1">
        <v>91</v>
      </c>
      <c r="B92" s="2">
        <f ca="1">AVERAGE(OFFSET('n=1'!$B$1,(ROW()-2)*$P$2+1,0,$P$2,1))</f>
        <v>46.5</v>
      </c>
      <c r="C92" s="18">
        <f t="shared" ca="1" si="11"/>
        <v>16.5</v>
      </c>
      <c r="D92" s="1">
        <f t="shared" ca="1" si="8"/>
        <v>66.5</v>
      </c>
      <c r="E92" s="1">
        <f t="shared" ca="1" si="9"/>
        <v>185.5</v>
      </c>
      <c r="F92" s="1">
        <f t="shared" ca="1" si="6"/>
        <v>5</v>
      </c>
      <c r="G92" s="1">
        <f t="shared" ca="1" si="7"/>
        <v>3</v>
      </c>
      <c r="H92" s="15">
        <f t="shared" si="10"/>
        <v>5</v>
      </c>
      <c r="I92" s="1"/>
      <c r="J92" s="2"/>
    </row>
    <row r="93" spans="1:10" ht="16.2" thickBot="1" x14ac:dyDescent="0.35">
      <c r="A93" s="1">
        <v>92</v>
      </c>
      <c r="B93" s="2">
        <f ca="1">AVERAGE(OFFSET('n=1'!$B$1,(ROW()-2)*$P$2+1,0,$P$2,1))</f>
        <v>47</v>
      </c>
      <c r="C93" s="18">
        <f t="shared" ca="1" si="11"/>
        <v>13.5</v>
      </c>
      <c r="D93" s="1">
        <f t="shared" ca="1" si="8"/>
        <v>67</v>
      </c>
      <c r="E93" s="1">
        <f t="shared" ca="1" si="9"/>
        <v>185</v>
      </c>
      <c r="F93" s="1">
        <f t="shared" ca="1" si="6"/>
        <v>1.5</v>
      </c>
      <c r="G93" s="1">
        <f t="shared" ca="1" si="7"/>
        <v>5.5</v>
      </c>
      <c r="H93" s="15">
        <f t="shared" si="10"/>
        <v>5</v>
      </c>
      <c r="I93" s="1"/>
      <c r="J93" s="2"/>
    </row>
    <row r="94" spans="1:10" ht="16.2" thickBot="1" x14ac:dyDescent="0.35">
      <c r="A94" s="1">
        <v>93</v>
      </c>
      <c r="B94" s="2">
        <f ca="1">AVERAGE(OFFSET('n=1'!$B$1,(ROW()-2)*$P$2+1,0,$P$2,1))</f>
        <v>49.5</v>
      </c>
      <c r="C94" s="18">
        <f t="shared" ca="1" si="11"/>
        <v>13</v>
      </c>
      <c r="D94" s="1">
        <f t="shared" ca="1" si="8"/>
        <v>67.5</v>
      </c>
      <c r="E94" s="1">
        <f t="shared" ca="1" si="9"/>
        <v>184.5</v>
      </c>
      <c r="F94" s="1">
        <f t="shared" ca="1" si="6"/>
        <v>0.5</v>
      </c>
      <c r="G94" s="1">
        <f t="shared" ca="1" si="7"/>
        <v>5.5</v>
      </c>
      <c r="H94" s="15">
        <f t="shared" si="10"/>
        <v>5</v>
      </c>
      <c r="I94" s="1"/>
      <c r="J94" s="2"/>
    </row>
    <row r="95" spans="1:10" ht="16.2" thickBot="1" x14ac:dyDescent="0.35">
      <c r="A95" s="1">
        <v>94</v>
      </c>
      <c r="B95" s="2">
        <f ca="1">AVERAGE(OFFSET('n=1'!$B$1,(ROW()-2)*$P$2+1,0,$P$2,1))</f>
        <v>55</v>
      </c>
      <c r="C95" s="18">
        <f t="shared" ca="1" si="11"/>
        <v>18</v>
      </c>
      <c r="D95" s="1">
        <f t="shared" ca="1" si="8"/>
        <v>68</v>
      </c>
      <c r="E95" s="1">
        <f t="shared" ca="1" si="9"/>
        <v>184</v>
      </c>
      <c r="F95" s="1">
        <f t="shared" ca="1" si="6"/>
        <v>5</v>
      </c>
      <c r="G95" s="1">
        <f t="shared" ca="1" si="7"/>
        <v>0</v>
      </c>
      <c r="H95" s="15">
        <f t="shared" si="10"/>
        <v>5</v>
      </c>
      <c r="I95" s="1"/>
      <c r="J95" s="2"/>
    </row>
    <row r="96" spans="1:10" ht="16.2" thickBot="1" x14ac:dyDescent="0.35">
      <c r="A96" s="1">
        <v>95</v>
      </c>
      <c r="B96" s="2">
        <f ca="1">AVERAGE(OFFSET('n=1'!$B$1,(ROW()-2)*$P$2+1,0,$P$2,1))</f>
        <v>50.5</v>
      </c>
      <c r="C96" s="18">
        <f t="shared" ca="1" si="11"/>
        <v>18.5</v>
      </c>
      <c r="D96" s="1">
        <f t="shared" ca="1" si="8"/>
        <v>68.5</v>
      </c>
      <c r="E96" s="1">
        <f t="shared" ca="1" si="9"/>
        <v>183.5</v>
      </c>
      <c r="F96" s="1">
        <f t="shared" ca="1" si="6"/>
        <v>5</v>
      </c>
      <c r="G96" s="1">
        <f t="shared" ca="1" si="7"/>
        <v>0</v>
      </c>
      <c r="H96" s="15">
        <f t="shared" si="10"/>
        <v>5</v>
      </c>
      <c r="I96" s="1"/>
      <c r="J96" s="2"/>
    </row>
    <row r="97" spans="1:10" ht="16.2" thickBot="1" x14ac:dyDescent="0.35">
      <c r="A97" s="1">
        <v>96</v>
      </c>
      <c r="B97" s="2">
        <f ca="1">AVERAGE(OFFSET('n=1'!$B$1,(ROW()-2)*$P$2+1,0,$P$2,1))</f>
        <v>49</v>
      </c>
      <c r="C97" s="18">
        <f t="shared" ca="1" si="11"/>
        <v>17.5</v>
      </c>
      <c r="D97" s="1">
        <f t="shared" ca="1" si="8"/>
        <v>69</v>
      </c>
      <c r="E97" s="1">
        <f t="shared" ca="1" si="9"/>
        <v>183</v>
      </c>
      <c r="F97" s="1">
        <f t="shared" ca="1" si="6"/>
        <v>3.5</v>
      </c>
      <c r="G97" s="1">
        <f t="shared" ca="1" si="7"/>
        <v>0.5</v>
      </c>
      <c r="H97" s="15">
        <f t="shared" si="10"/>
        <v>5</v>
      </c>
      <c r="I97" s="1"/>
      <c r="J97" s="2"/>
    </row>
    <row r="98" spans="1:10" ht="16.2" thickBot="1" x14ac:dyDescent="0.35">
      <c r="A98" s="1">
        <v>97</v>
      </c>
      <c r="B98" s="2">
        <f ca="1">AVERAGE(OFFSET('n=1'!$B$1,(ROW()-2)*$P$2+1,0,$P$2,1))</f>
        <v>53</v>
      </c>
      <c r="C98" s="18">
        <f t="shared" ca="1" si="11"/>
        <v>20.5</v>
      </c>
      <c r="D98" s="1">
        <f t="shared" ca="1" si="8"/>
        <v>69.5</v>
      </c>
      <c r="E98" s="1">
        <f t="shared" ca="1" si="9"/>
        <v>182.5</v>
      </c>
      <c r="F98" s="1">
        <f t="shared" ca="1" si="6"/>
        <v>6</v>
      </c>
      <c r="G98" s="1">
        <f t="shared" ca="1" si="7"/>
        <v>0</v>
      </c>
      <c r="H98" s="15">
        <f t="shared" si="10"/>
        <v>5</v>
      </c>
      <c r="I98" s="1"/>
      <c r="J98" s="2"/>
    </row>
    <row r="99" spans="1:10" ht="16.2" thickBot="1" x14ac:dyDescent="0.35">
      <c r="A99" s="1">
        <v>98</v>
      </c>
      <c r="B99" s="2">
        <f ca="1">AVERAGE(OFFSET('n=1'!$B$1,(ROW()-2)*$P$2+1,0,$P$2,1))</f>
        <v>49</v>
      </c>
      <c r="C99" s="18">
        <f t="shared" ca="1" si="11"/>
        <v>19.5</v>
      </c>
      <c r="D99" s="1">
        <f t="shared" ca="1" si="8"/>
        <v>70</v>
      </c>
      <c r="E99" s="1">
        <f t="shared" ca="1" si="9"/>
        <v>182</v>
      </c>
      <c r="F99" s="1">
        <f t="shared" ca="1" si="6"/>
        <v>4.5</v>
      </c>
      <c r="G99" s="1">
        <f t="shared" ca="1" si="7"/>
        <v>0.5</v>
      </c>
      <c r="H99" s="15">
        <f t="shared" si="10"/>
        <v>5</v>
      </c>
      <c r="I99" s="1"/>
      <c r="J99" s="2"/>
    </row>
    <row r="100" spans="1:10" ht="16.2" thickBot="1" x14ac:dyDescent="0.35">
      <c r="A100" s="1">
        <v>99</v>
      </c>
      <c r="B100" s="2">
        <f ca="1">AVERAGE(OFFSET('n=1'!$B$1,(ROW()-2)*$P$2+1,0,$P$2,1))</f>
        <v>50</v>
      </c>
      <c r="C100" s="18">
        <f t="shared" ca="1" si="11"/>
        <v>19.5</v>
      </c>
      <c r="D100" s="1">
        <f t="shared" ca="1" si="8"/>
        <v>70.5</v>
      </c>
      <c r="E100" s="1">
        <f t="shared" ca="1" si="9"/>
        <v>181.5</v>
      </c>
      <c r="F100" s="1">
        <f t="shared" ca="1" si="6"/>
        <v>4</v>
      </c>
      <c r="G100" s="1">
        <f t="shared" ca="1" si="7"/>
        <v>0</v>
      </c>
      <c r="H100" s="15">
        <f t="shared" si="10"/>
        <v>5</v>
      </c>
      <c r="I100" s="1"/>
      <c r="J100" s="2"/>
    </row>
    <row r="101" spans="1:10" ht="16.2" thickBot="1" x14ac:dyDescent="0.35">
      <c r="A101" s="1">
        <v>100</v>
      </c>
      <c r="B101" s="2">
        <f ca="1">AVERAGE(OFFSET('n=1'!$B$1,(ROW()-2)*$P$2+1,0,$P$2,1))</f>
        <v>50</v>
      </c>
      <c r="C101" s="18">
        <f t="shared" ca="1" si="11"/>
        <v>19.5</v>
      </c>
      <c r="D101" s="1">
        <f t="shared" ca="1" si="8"/>
        <v>71</v>
      </c>
      <c r="E101" s="1">
        <f t="shared" ca="1" si="9"/>
        <v>181</v>
      </c>
      <c r="F101" s="1">
        <f t="shared" ca="1" si="6"/>
        <v>3.5</v>
      </c>
      <c r="G101" s="1">
        <f t="shared" ca="1" si="7"/>
        <v>0</v>
      </c>
      <c r="H101" s="15">
        <f t="shared" si="10"/>
        <v>5</v>
      </c>
      <c r="I101" s="1"/>
      <c r="J101" s="2"/>
    </row>
    <row r="102" spans="1:10" ht="16.2" thickBot="1" x14ac:dyDescent="0.35">
      <c r="A102" s="1">
        <v>101</v>
      </c>
      <c r="B102" s="2">
        <f ca="1">AVERAGE(OFFSET('n=1'!$B$1,(ROW()-2)*$P$2+1,0,$P$2,1))</f>
        <v>50.5</v>
      </c>
      <c r="C102" s="18">
        <f t="shared" ca="1" si="11"/>
        <v>20</v>
      </c>
      <c r="D102" s="1">
        <f t="shared" ca="1" si="8"/>
        <v>71.5</v>
      </c>
      <c r="E102" s="1">
        <f t="shared" ca="1" si="9"/>
        <v>180.5</v>
      </c>
      <c r="F102" s="1">
        <f t="shared" ca="1" si="6"/>
        <v>3.5</v>
      </c>
      <c r="G102" s="1">
        <f t="shared" ca="1" si="7"/>
        <v>0</v>
      </c>
      <c r="H102" s="15">
        <f t="shared" si="10"/>
        <v>5</v>
      </c>
      <c r="I102" s="1"/>
      <c r="J102" s="2"/>
    </row>
    <row r="103" spans="1:10" ht="16.2" thickBot="1" x14ac:dyDescent="0.35">
      <c r="A103" s="1">
        <v>102</v>
      </c>
      <c r="B103" s="2">
        <f ca="1">AVERAGE(OFFSET('n=1'!$B$1,(ROW()-2)*$P$2+1,0,$P$2,1))</f>
        <v>51</v>
      </c>
      <c r="C103" s="18">
        <f t="shared" ca="1" si="11"/>
        <v>21</v>
      </c>
      <c r="D103" s="1">
        <f t="shared" ca="1" si="8"/>
        <v>72</v>
      </c>
      <c r="E103" s="1">
        <f t="shared" ca="1" si="9"/>
        <v>180</v>
      </c>
      <c r="F103" s="1">
        <f t="shared" ca="1" si="6"/>
        <v>4</v>
      </c>
      <c r="G103" s="1">
        <f t="shared" ca="1" si="7"/>
        <v>0</v>
      </c>
      <c r="H103" s="15">
        <f t="shared" si="10"/>
        <v>5</v>
      </c>
      <c r="I103" s="1"/>
      <c r="J103" s="2"/>
    </row>
    <row r="104" spans="1:10" ht="16.2" thickBot="1" x14ac:dyDescent="0.35">
      <c r="A104" s="1">
        <v>103</v>
      </c>
      <c r="B104" s="2">
        <f ca="1">AVERAGE(OFFSET('n=1'!$B$1,(ROW()-2)*$P$2+1,0,$P$2,1))</f>
        <v>51</v>
      </c>
      <c r="C104" s="18">
        <f t="shared" ca="1" si="11"/>
        <v>22</v>
      </c>
      <c r="D104" s="1">
        <f t="shared" ca="1" si="8"/>
        <v>72.5</v>
      </c>
      <c r="E104" s="1">
        <f t="shared" ca="1" si="9"/>
        <v>179.5</v>
      </c>
      <c r="F104" s="1">
        <f t="shared" ca="1" si="6"/>
        <v>4.5</v>
      </c>
      <c r="G104" s="1">
        <f t="shared" ca="1" si="7"/>
        <v>0</v>
      </c>
      <c r="H104" s="15">
        <f t="shared" si="10"/>
        <v>5</v>
      </c>
      <c r="I104" s="1"/>
      <c r="J104" s="2"/>
    </row>
    <row r="105" spans="1:10" ht="16.2" thickBot="1" x14ac:dyDescent="0.35">
      <c r="A105" s="1">
        <v>104</v>
      </c>
      <c r="B105" s="2">
        <f ca="1">AVERAGE(OFFSET('n=1'!$B$1,(ROW()-2)*$P$2+1,0,$P$2,1))</f>
        <v>53</v>
      </c>
      <c r="C105" s="18">
        <f t="shared" ca="1" si="11"/>
        <v>25</v>
      </c>
      <c r="D105" s="1">
        <f t="shared" ca="1" si="8"/>
        <v>73</v>
      </c>
      <c r="E105" s="1">
        <f t="shared" ca="1" si="9"/>
        <v>179</v>
      </c>
      <c r="F105" s="1">
        <f t="shared" ref="F105:F168" ca="1" si="12">MAX(0,B105-$L$2-$M$2+F104)</f>
        <v>7</v>
      </c>
      <c r="G105" s="1">
        <f t="shared" ref="G105:G168" ca="1" si="13">MAX(0,$L$2-B105-$M$2+G104)</f>
        <v>0</v>
      </c>
      <c r="H105" s="15">
        <f t="shared" si="10"/>
        <v>5</v>
      </c>
      <c r="I105" s="1"/>
      <c r="J105" s="2"/>
    </row>
    <row r="106" spans="1:10" ht="16.2" thickBot="1" x14ac:dyDescent="0.35">
      <c r="A106" s="1">
        <v>105</v>
      </c>
      <c r="B106" s="2">
        <f ca="1">AVERAGE(OFFSET('n=1'!$B$1,(ROW()-2)*$P$2+1,0,$P$2,1))</f>
        <v>51.5</v>
      </c>
      <c r="C106" s="18">
        <f t="shared" ca="1" si="11"/>
        <v>26.5</v>
      </c>
      <c r="D106" s="1">
        <f t="shared" ca="1" si="8"/>
        <v>73.5</v>
      </c>
      <c r="E106" s="1">
        <f t="shared" ca="1" si="9"/>
        <v>178.5</v>
      </c>
      <c r="F106" s="1">
        <f t="shared" ca="1" si="12"/>
        <v>8</v>
      </c>
      <c r="G106" s="1">
        <f t="shared" ca="1" si="13"/>
        <v>0</v>
      </c>
      <c r="H106" s="15">
        <f t="shared" si="10"/>
        <v>5</v>
      </c>
      <c r="I106" s="1"/>
      <c r="J106" s="2"/>
    </row>
    <row r="107" spans="1:10" ht="16.2" thickBot="1" x14ac:dyDescent="0.35">
      <c r="A107" s="1">
        <v>106</v>
      </c>
      <c r="B107" s="2">
        <f ca="1">AVERAGE(OFFSET('n=1'!$B$1,(ROW()-2)*$P$2+1,0,$P$2,1))</f>
        <v>51</v>
      </c>
      <c r="C107" s="18">
        <f t="shared" ca="1" si="11"/>
        <v>27.5</v>
      </c>
      <c r="D107" s="1">
        <f t="shared" ca="1" si="8"/>
        <v>74</v>
      </c>
      <c r="E107" s="1">
        <f t="shared" ca="1" si="9"/>
        <v>178</v>
      </c>
      <c r="F107" s="1">
        <f t="shared" ca="1" si="12"/>
        <v>8.5</v>
      </c>
      <c r="G107" s="1">
        <f t="shared" ca="1" si="13"/>
        <v>0</v>
      </c>
      <c r="H107" s="15">
        <f t="shared" si="10"/>
        <v>5</v>
      </c>
      <c r="I107" s="1"/>
      <c r="J107" s="2"/>
    </row>
    <row r="108" spans="1:10" ht="16.2" thickBot="1" x14ac:dyDescent="0.35">
      <c r="A108" s="1">
        <v>107</v>
      </c>
      <c r="B108" s="2">
        <f ca="1">AVERAGE(OFFSET('n=1'!$B$1,(ROW()-2)*$P$2+1,0,$P$2,1))</f>
        <v>51</v>
      </c>
      <c r="C108" s="18">
        <f t="shared" ca="1" si="11"/>
        <v>28.5</v>
      </c>
      <c r="D108" s="1">
        <f t="shared" ca="1" si="8"/>
        <v>74.5</v>
      </c>
      <c r="E108" s="1">
        <f t="shared" ca="1" si="9"/>
        <v>177.5</v>
      </c>
      <c r="F108" s="1">
        <f t="shared" ca="1" si="12"/>
        <v>9</v>
      </c>
      <c r="G108" s="1">
        <f t="shared" ca="1" si="13"/>
        <v>0</v>
      </c>
      <c r="H108" s="15">
        <f t="shared" si="10"/>
        <v>5</v>
      </c>
      <c r="I108" s="1"/>
      <c r="J108" s="2"/>
    </row>
    <row r="109" spans="1:10" ht="16.2" thickBot="1" x14ac:dyDescent="0.35">
      <c r="A109" s="1">
        <v>108</v>
      </c>
      <c r="B109" s="2">
        <f ca="1">AVERAGE(OFFSET('n=1'!$B$1,(ROW()-2)*$P$2+1,0,$P$2,1))</f>
        <v>49</v>
      </c>
      <c r="C109" s="18">
        <f t="shared" ca="1" si="11"/>
        <v>27.5</v>
      </c>
      <c r="D109" s="1">
        <f t="shared" ca="1" si="8"/>
        <v>75</v>
      </c>
      <c r="E109" s="1">
        <f t="shared" ca="1" si="9"/>
        <v>177</v>
      </c>
      <c r="F109" s="1">
        <f t="shared" ca="1" si="12"/>
        <v>7.5</v>
      </c>
      <c r="G109" s="1">
        <f t="shared" ca="1" si="13"/>
        <v>0.5</v>
      </c>
      <c r="H109" s="15">
        <f t="shared" si="10"/>
        <v>5</v>
      </c>
      <c r="I109" s="1"/>
      <c r="J109" s="2"/>
    </row>
    <row r="110" spans="1:10" ht="16.2" thickBot="1" x14ac:dyDescent="0.35">
      <c r="A110" s="1">
        <v>109</v>
      </c>
      <c r="B110" s="2">
        <f ca="1">AVERAGE(OFFSET('n=1'!$B$1,(ROW()-2)*$P$2+1,0,$P$2,1))</f>
        <v>49.5</v>
      </c>
      <c r="C110" s="18">
        <f t="shared" ca="1" si="11"/>
        <v>27</v>
      </c>
      <c r="D110" s="1">
        <f t="shared" ca="1" si="8"/>
        <v>75.5</v>
      </c>
      <c r="E110" s="1">
        <f t="shared" ca="1" si="9"/>
        <v>176.5</v>
      </c>
      <c r="F110" s="1">
        <f t="shared" ca="1" si="12"/>
        <v>6.5</v>
      </c>
      <c r="G110" s="1">
        <f t="shared" ca="1" si="13"/>
        <v>0.5</v>
      </c>
      <c r="H110" s="15">
        <f t="shared" si="10"/>
        <v>5</v>
      </c>
      <c r="I110" s="1"/>
      <c r="J110" s="2"/>
    </row>
    <row r="111" spans="1:10" ht="16.2" thickBot="1" x14ac:dyDescent="0.35">
      <c r="A111" s="1">
        <v>110</v>
      </c>
      <c r="B111" s="2">
        <f ca="1">AVERAGE(OFFSET('n=1'!$B$1,(ROW()-2)*$P$2+1,0,$P$2,1))</f>
        <v>52</v>
      </c>
      <c r="C111" s="18">
        <f t="shared" ca="1" si="11"/>
        <v>29</v>
      </c>
      <c r="D111" s="1">
        <f t="shared" ca="1" si="8"/>
        <v>76</v>
      </c>
      <c r="E111" s="1">
        <f t="shared" ca="1" si="9"/>
        <v>176</v>
      </c>
      <c r="F111" s="1">
        <f t="shared" ca="1" si="12"/>
        <v>8</v>
      </c>
      <c r="G111" s="1">
        <f t="shared" ca="1" si="13"/>
        <v>0</v>
      </c>
      <c r="H111" s="15">
        <f t="shared" si="10"/>
        <v>5</v>
      </c>
      <c r="I111" s="1"/>
      <c r="J111" s="2"/>
    </row>
    <row r="112" spans="1:10" ht="16.2" thickBot="1" x14ac:dyDescent="0.35">
      <c r="A112" s="1">
        <v>111</v>
      </c>
      <c r="B112" s="2">
        <f ca="1">AVERAGE(OFFSET('n=1'!$B$1,(ROW()-2)*$P$2+1,0,$P$2,1))</f>
        <v>53</v>
      </c>
      <c r="C112" s="18">
        <f t="shared" ca="1" si="11"/>
        <v>32</v>
      </c>
      <c r="D112" s="1">
        <f t="shared" ca="1" si="8"/>
        <v>76.5</v>
      </c>
      <c r="E112" s="1">
        <f t="shared" ca="1" si="9"/>
        <v>175.5</v>
      </c>
      <c r="F112" s="1">
        <f t="shared" ca="1" si="12"/>
        <v>10.5</v>
      </c>
      <c r="G112" s="1">
        <f t="shared" ca="1" si="13"/>
        <v>0</v>
      </c>
      <c r="H112" s="15">
        <f t="shared" si="10"/>
        <v>5</v>
      </c>
      <c r="I112" s="1"/>
      <c r="J112" s="2"/>
    </row>
    <row r="113" spans="1:10" ht="16.2" thickBot="1" x14ac:dyDescent="0.35">
      <c r="A113" s="1">
        <v>112</v>
      </c>
      <c r="B113" s="2">
        <f ca="1">AVERAGE(OFFSET('n=1'!$B$1,(ROW()-2)*$P$2+1,0,$P$2,1))</f>
        <v>48.5</v>
      </c>
      <c r="C113" s="18">
        <f t="shared" ca="1" si="11"/>
        <v>30.5</v>
      </c>
      <c r="D113" s="1">
        <f t="shared" ca="1" si="8"/>
        <v>77</v>
      </c>
      <c r="E113" s="1">
        <f t="shared" ca="1" si="9"/>
        <v>175</v>
      </c>
      <c r="F113" s="1">
        <f t="shared" ca="1" si="12"/>
        <v>8.5</v>
      </c>
      <c r="G113" s="1">
        <f t="shared" ca="1" si="13"/>
        <v>1</v>
      </c>
      <c r="H113" s="15">
        <f t="shared" si="10"/>
        <v>5</v>
      </c>
      <c r="I113" s="1"/>
      <c r="J113" s="2"/>
    </row>
    <row r="114" spans="1:10" ht="16.2" thickBot="1" x14ac:dyDescent="0.35">
      <c r="A114" s="1">
        <v>113</v>
      </c>
      <c r="B114" s="2">
        <f ca="1">AVERAGE(OFFSET('n=1'!$B$1,(ROW()-2)*$P$2+1,0,$P$2,1))</f>
        <v>53</v>
      </c>
      <c r="C114" s="18">
        <f t="shared" ca="1" si="11"/>
        <v>33.5</v>
      </c>
      <c r="D114" s="1">
        <f t="shared" ca="1" si="8"/>
        <v>77.5</v>
      </c>
      <c r="E114" s="1">
        <f t="shared" ca="1" si="9"/>
        <v>174.5</v>
      </c>
      <c r="F114" s="1">
        <f t="shared" ca="1" si="12"/>
        <v>11</v>
      </c>
      <c r="G114" s="1">
        <f t="shared" ca="1" si="13"/>
        <v>0</v>
      </c>
      <c r="H114" s="15">
        <f t="shared" si="10"/>
        <v>5</v>
      </c>
      <c r="I114" s="1"/>
      <c r="J114" s="2"/>
    </row>
    <row r="115" spans="1:10" ht="16.2" thickBot="1" x14ac:dyDescent="0.35">
      <c r="A115" s="1">
        <v>114</v>
      </c>
      <c r="B115" s="2">
        <f ca="1">AVERAGE(OFFSET('n=1'!$B$1,(ROW()-2)*$P$2+1,0,$P$2,1))</f>
        <v>46</v>
      </c>
      <c r="C115" s="18">
        <f t="shared" ca="1" si="11"/>
        <v>29.5</v>
      </c>
      <c r="D115" s="1">
        <f t="shared" ca="1" si="8"/>
        <v>78</v>
      </c>
      <c r="E115" s="1">
        <f t="shared" ca="1" si="9"/>
        <v>174</v>
      </c>
      <c r="F115" s="1">
        <f t="shared" ca="1" si="12"/>
        <v>6.5</v>
      </c>
      <c r="G115" s="1">
        <f t="shared" ca="1" si="13"/>
        <v>3.5</v>
      </c>
      <c r="H115" s="15">
        <f t="shared" si="10"/>
        <v>5</v>
      </c>
      <c r="I115" s="1"/>
      <c r="J115" s="2"/>
    </row>
    <row r="116" spans="1:10" ht="16.2" thickBot="1" x14ac:dyDescent="0.35">
      <c r="A116" s="1">
        <v>115</v>
      </c>
      <c r="B116" s="2">
        <f ca="1">AVERAGE(OFFSET('n=1'!$B$1,(ROW()-2)*$P$2+1,0,$P$2,1))</f>
        <v>48.5</v>
      </c>
      <c r="C116" s="18">
        <f t="shared" ca="1" si="11"/>
        <v>28</v>
      </c>
      <c r="D116" s="1">
        <f t="shared" ca="1" si="8"/>
        <v>78.5</v>
      </c>
      <c r="E116" s="1">
        <f t="shared" ca="1" si="9"/>
        <v>173.5</v>
      </c>
      <c r="F116" s="1">
        <f t="shared" ca="1" si="12"/>
        <v>4.5</v>
      </c>
      <c r="G116" s="1">
        <f t="shared" ca="1" si="13"/>
        <v>4.5</v>
      </c>
      <c r="H116" s="15">
        <f t="shared" si="10"/>
        <v>5</v>
      </c>
      <c r="I116" s="1"/>
      <c r="J116" s="2"/>
    </row>
    <row r="117" spans="1:10" ht="16.2" thickBot="1" x14ac:dyDescent="0.35">
      <c r="A117" s="1">
        <v>116</v>
      </c>
      <c r="B117" s="2">
        <f ca="1">AVERAGE(OFFSET('n=1'!$B$1,(ROW()-2)*$P$2+1,0,$P$2,1))</f>
        <v>50</v>
      </c>
      <c r="C117" s="18">
        <f t="shared" ca="1" si="11"/>
        <v>28</v>
      </c>
      <c r="D117" s="1">
        <f t="shared" ca="1" si="8"/>
        <v>79</v>
      </c>
      <c r="E117" s="1">
        <f t="shared" ca="1" si="9"/>
        <v>173</v>
      </c>
      <c r="F117" s="1">
        <f t="shared" ca="1" si="12"/>
        <v>4</v>
      </c>
      <c r="G117" s="1">
        <f t="shared" ca="1" si="13"/>
        <v>4</v>
      </c>
      <c r="H117" s="15">
        <f t="shared" si="10"/>
        <v>5</v>
      </c>
      <c r="I117" s="1"/>
      <c r="J117" s="2"/>
    </row>
    <row r="118" spans="1:10" ht="16.2" thickBot="1" x14ac:dyDescent="0.35">
      <c r="A118" s="1">
        <v>117</v>
      </c>
      <c r="B118" s="2">
        <f ca="1">AVERAGE(OFFSET('n=1'!$B$1,(ROW()-2)*$P$2+1,0,$P$2,1))</f>
        <v>51.5</v>
      </c>
      <c r="C118" s="18">
        <f t="shared" ca="1" si="11"/>
        <v>29.5</v>
      </c>
      <c r="D118" s="1">
        <f t="shared" ca="1" si="8"/>
        <v>79.5</v>
      </c>
      <c r="E118" s="1">
        <f t="shared" ca="1" si="9"/>
        <v>172.5</v>
      </c>
      <c r="F118" s="1">
        <f t="shared" ca="1" si="12"/>
        <v>5</v>
      </c>
      <c r="G118" s="1">
        <f t="shared" ca="1" si="13"/>
        <v>2</v>
      </c>
      <c r="H118" s="15">
        <f t="shared" si="10"/>
        <v>5</v>
      </c>
      <c r="I118" s="1"/>
      <c r="J118" s="2"/>
    </row>
    <row r="119" spans="1:10" ht="16.2" thickBot="1" x14ac:dyDescent="0.35">
      <c r="A119" s="1">
        <v>118</v>
      </c>
      <c r="B119" s="2">
        <f ca="1">AVERAGE(OFFSET('n=1'!$B$1,(ROW()-2)*$P$2+1,0,$P$2,1))</f>
        <v>52</v>
      </c>
      <c r="C119" s="18">
        <f t="shared" ca="1" si="11"/>
        <v>31.5</v>
      </c>
      <c r="D119" s="1">
        <f t="shared" ca="1" si="8"/>
        <v>80</v>
      </c>
      <c r="E119" s="1">
        <f t="shared" ca="1" si="9"/>
        <v>172</v>
      </c>
      <c r="F119" s="1">
        <f t="shared" ca="1" si="12"/>
        <v>6.5</v>
      </c>
      <c r="G119" s="1">
        <f t="shared" ca="1" si="13"/>
        <v>0</v>
      </c>
      <c r="H119" s="15">
        <f t="shared" si="10"/>
        <v>5</v>
      </c>
      <c r="I119" s="1"/>
      <c r="J119" s="2"/>
    </row>
    <row r="120" spans="1:10" ht="16.2" thickBot="1" x14ac:dyDescent="0.35">
      <c r="A120" s="1">
        <v>119</v>
      </c>
      <c r="B120" s="2">
        <f ca="1">AVERAGE(OFFSET('n=1'!$B$1,(ROW()-2)*$P$2+1,0,$P$2,1))</f>
        <v>48.5</v>
      </c>
      <c r="C120" s="18">
        <f t="shared" ca="1" si="11"/>
        <v>30</v>
      </c>
      <c r="D120" s="1">
        <f t="shared" ca="1" si="8"/>
        <v>80.5</v>
      </c>
      <c r="E120" s="1">
        <f t="shared" ca="1" si="9"/>
        <v>171.5</v>
      </c>
      <c r="F120" s="1">
        <f t="shared" ca="1" si="12"/>
        <v>4.5</v>
      </c>
      <c r="G120" s="1">
        <f t="shared" ca="1" si="13"/>
        <v>1</v>
      </c>
      <c r="H120" s="15">
        <f t="shared" si="10"/>
        <v>5</v>
      </c>
      <c r="I120" s="1"/>
      <c r="J120" s="2"/>
    </row>
    <row r="121" spans="1:10" ht="16.2" thickBot="1" x14ac:dyDescent="0.35">
      <c r="A121" s="1">
        <v>120</v>
      </c>
      <c r="B121" s="2">
        <f ca="1">AVERAGE(OFFSET('n=1'!$B$1,(ROW()-2)*$P$2+1,0,$P$2,1))</f>
        <v>49.5</v>
      </c>
      <c r="C121" s="18">
        <f t="shared" ca="1" si="11"/>
        <v>29.5</v>
      </c>
      <c r="D121" s="1">
        <f t="shared" ca="1" si="8"/>
        <v>81</v>
      </c>
      <c r="E121" s="1">
        <f t="shared" ca="1" si="9"/>
        <v>171</v>
      </c>
      <c r="F121" s="1">
        <f t="shared" ca="1" si="12"/>
        <v>3.5</v>
      </c>
      <c r="G121" s="1">
        <f t="shared" ca="1" si="13"/>
        <v>1</v>
      </c>
      <c r="H121" s="15">
        <f t="shared" si="10"/>
        <v>5</v>
      </c>
      <c r="I121" s="1"/>
      <c r="J121" s="2"/>
    </row>
    <row r="122" spans="1:10" ht="16.2" thickBot="1" x14ac:dyDescent="0.35">
      <c r="A122" s="1">
        <v>121</v>
      </c>
      <c r="B122" s="2">
        <f ca="1">AVERAGE(OFFSET('n=1'!$B$1,(ROW()-2)*$P$2+1,0,$P$2,1))</f>
        <v>51.5</v>
      </c>
      <c r="C122" s="18">
        <f t="shared" ca="1" si="11"/>
        <v>31</v>
      </c>
      <c r="D122" s="1">
        <f t="shared" ca="1" si="8"/>
        <v>81.5</v>
      </c>
      <c r="E122" s="1">
        <f t="shared" ca="1" si="9"/>
        <v>170.5</v>
      </c>
      <c r="F122" s="1">
        <f t="shared" ca="1" si="12"/>
        <v>4.5</v>
      </c>
      <c r="G122" s="1">
        <f t="shared" ca="1" si="13"/>
        <v>0</v>
      </c>
      <c r="H122" s="15">
        <f t="shared" si="10"/>
        <v>5</v>
      </c>
      <c r="I122" s="1"/>
      <c r="J122" s="2"/>
    </row>
    <row r="123" spans="1:10" ht="16.2" thickBot="1" x14ac:dyDescent="0.35">
      <c r="A123" s="1">
        <v>122</v>
      </c>
      <c r="B123" s="2">
        <f ca="1">AVERAGE(OFFSET('n=1'!$B$1,(ROW()-2)*$P$2+1,0,$P$2,1))</f>
        <v>49</v>
      </c>
      <c r="C123" s="18">
        <f t="shared" ca="1" si="11"/>
        <v>30</v>
      </c>
      <c r="D123" s="1">
        <f t="shared" ca="1" si="8"/>
        <v>82</v>
      </c>
      <c r="E123" s="1">
        <f t="shared" ca="1" si="9"/>
        <v>170</v>
      </c>
      <c r="F123" s="1">
        <f t="shared" ca="1" si="12"/>
        <v>3</v>
      </c>
      <c r="G123" s="1">
        <f t="shared" ca="1" si="13"/>
        <v>0.5</v>
      </c>
      <c r="H123" s="15">
        <f t="shared" si="10"/>
        <v>5</v>
      </c>
      <c r="I123" s="1"/>
      <c r="J123" s="2"/>
    </row>
    <row r="124" spans="1:10" ht="16.2" thickBot="1" x14ac:dyDescent="0.35">
      <c r="A124" s="1">
        <v>123</v>
      </c>
      <c r="B124" s="2">
        <f ca="1">AVERAGE(OFFSET('n=1'!$B$1,(ROW()-2)*$P$2+1,0,$P$2,1))</f>
        <v>51.5</v>
      </c>
      <c r="C124" s="18">
        <f t="shared" ca="1" si="11"/>
        <v>31.5</v>
      </c>
      <c r="D124" s="1">
        <f t="shared" ca="1" si="8"/>
        <v>82.5</v>
      </c>
      <c r="E124" s="1">
        <f t="shared" ca="1" si="9"/>
        <v>169.5</v>
      </c>
      <c r="F124" s="1">
        <f t="shared" ca="1" si="12"/>
        <v>4</v>
      </c>
      <c r="G124" s="1">
        <f t="shared" ca="1" si="13"/>
        <v>0</v>
      </c>
      <c r="H124" s="15">
        <f t="shared" si="10"/>
        <v>5</v>
      </c>
      <c r="I124" s="1"/>
      <c r="J124" s="2"/>
    </row>
    <row r="125" spans="1:10" ht="16.2" thickBot="1" x14ac:dyDescent="0.35">
      <c r="A125" s="1">
        <v>124</v>
      </c>
      <c r="B125" s="2">
        <f ca="1">AVERAGE(OFFSET('n=1'!$B$1,(ROW()-2)*$P$2+1,0,$P$2,1))</f>
        <v>54</v>
      </c>
      <c r="C125" s="18">
        <f t="shared" ca="1" si="11"/>
        <v>35.5</v>
      </c>
      <c r="D125" s="1">
        <f t="shared" ca="1" si="8"/>
        <v>83</v>
      </c>
      <c r="E125" s="1">
        <f t="shared" ca="1" si="9"/>
        <v>169</v>
      </c>
      <c r="F125" s="1">
        <f t="shared" ca="1" si="12"/>
        <v>7.5</v>
      </c>
      <c r="G125" s="1">
        <f t="shared" ca="1" si="13"/>
        <v>0</v>
      </c>
      <c r="H125" s="15">
        <f t="shared" si="10"/>
        <v>5</v>
      </c>
      <c r="I125" s="1"/>
      <c r="J125" s="2"/>
    </row>
    <row r="126" spans="1:10" ht="16.2" thickBot="1" x14ac:dyDescent="0.35">
      <c r="A126" s="1">
        <v>125</v>
      </c>
      <c r="B126" s="2">
        <f ca="1">AVERAGE(OFFSET('n=1'!$B$1,(ROW()-2)*$P$2+1,0,$P$2,1))</f>
        <v>51.5</v>
      </c>
      <c r="C126" s="18">
        <f t="shared" ca="1" si="11"/>
        <v>37</v>
      </c>
      <c r="D126" s="1">
        <f t="shared" ca="1" si="8"/>
        <v>83.5</v>
      </c>
      <c r="E126" s="1">
        <f t="shared" ca="1" si="9"/>
        <v>168.5</v>
      </c>
      <c r="F126" s="1">
        <f t="shared" ca="1" si="12"/>
        <v>8.5</v>
      </c>
      <c r="G126" s="1">
        <f t="shared" ca="1" si="13"/>
        <v>0</v>
      </c>
      <c r="H126" s="15">
        <f t="shared" si="10"/>
        <v>5</v>
      </c>
      <c r="I126" s="1"/>
      <c r="J126" s="2"/>
    </row>
    <row r="127" spans="1:10" ht="16.2" thickBot="1" x14ac:dyDescent="0.35">
      <c r="A127" s="1">
        <v>126</v>
      </c>
      <c r="B127" s="2">
        <f ca="1">AVERAGE(OFFSET('n=1'!$B$1,(ROW()-2)*$P$2+1,0,$P$2,1))</f>
        <v>51.5</v>
      </c>
      <c r="C127" s="18">
        <f t="shared" ca="1" si="11"/>
        <v>38.5</v>
      </c>
      <c r="D127" s="1">
        <f t="shared" ca="1" si="8"/>
        <v>84</v>
      </c>
      <c r="E127" s="1">
        <f t="shared" ca="1" si="9"/>
        <v>168</v>
      </c>
      <c r="F127" s="1">
        <f t="shared" ca="1" si="12"/>
        <v>9.5</v>
      </c>
      <c r="G127" s="1">
        <f t="shared" ca="1" si="13"/>
        <v>0</v>
      </c>
      <c r="H127" s="15">
        <f t="shared" si="10"/>
        <v>5</v>
      </c>
      <c r="I127" s="1"/>
      <c r="J127" s="2"/>
    </row>
    <row r="128" spans="1:10" ht="16.2" thickBot="1" x14ac:dyDescent="0.35">
      <c r="A128" s="1">
        <v>127</v>
      </c>
      <c r="B128" s="2">
        <f ca="1">AVERAGE(OFFSET('n=1'!$B$1,(ROW()-2)*$P$2+1,0,$P$2,1))</f>
        <v>54.5</v>
      </c>
      <c r="C128" s="18">
        <f t="shared" ca="1" si="11"/>
        <v>43</v>
      </c>
      <c r="D128" s="1">
        <f t="shared" ca="1" si="8"/>
        <v>84.5</v>
      </c>
      <c r="E128" s="1">
        <f t="shared" ca="1" si="9"/>
        <v>167.5</v>
      </c>
      <c r="F128" s="1">
        <f t="shared" ca="1" si="12"/>
        <v>13.5</v>
      </c>
      <c r="G128" s="1">
        <f t="shared" ca="1" si="13"/>
        <v>0</v>
      </c>
      <c r="H128" s="15">
        <f t="shared" si="10"/>
        <v>5</v>
      </c>
      <c r="I128" s="1"/>
      <c r="J128" s="2"/>
    </row>
    <row r="129" spans="1:10" ht="16.2" thickBot="1" x14ac:dyDescent="0.35">
      <c r="A129" s="1">
        <v>128</v>
      </c>
      <c r="B129" s="2">
        <f ca="1">AVERAGE(OFFSET('n=1'!$B$1,(ROW()-2)*$P$2+1,0,$P$2,1))</f>
        <v>51</v>
      </c>
      <c r="C129" s="18">
        <f t="shared" ca="1" si="11"/>
        <v>44</v>
      </c>
      <c r="D129" s="1">
        <f t="shared" ca="1" si="8"/>
        <v>85</v>
      </c>
      <c r="E129" s="1">
        <f t="shared" ca="1" si="9"/>
        <v>167</v>
      </c>
      <c r="F129" s="1">
        <f t="shared" ca="1" si="12"/>
        <v>14</v>
      </c>
      <c r="G129" s="1">
        <f t="shared" ca="1" si="13"/>
        <v>0</v>
      </c>
      <c r="H129" s="15">
        <f t="shared" si="10"/>
        <v>5</v>
      </c>
      <c r="I129" s="1"/>
      <c r="J129" s="2"/>
    </row>
    <row r="130" spans="1:10" ht="16.2" thickBot="1" x14ac:dyDescent="0.35">
      <c r="A130" s="1">
        <v>129</v>
      </c>
      <c r="B130" s="2">
        <f ca="1">AVERAGE(OFFSET('n=1'!$B$1,(ROW()-2)*$P$2+1,0,$P$2,1))</f>
        <v>56.5</v>
      </c>
      <c r="C130" s="18">
        <f t="shared" ca="1" si="11"/>
        <v>50.5</v>
      </c>
      <c r="D130" s="1">
        <f t="shared" ref="D130:D193" ca="1" si="14">D131-$M$2</f>
        <v>85.5</v>
      </c>
      <c r="E130" s="1">
        <f t="shared" ref="E130:E193" ca="1" si="15">E131+$M$2</f>
        <v>166.5</v>
      </c>
      <c r="F130" s="1">
        <f t="shared" ca="1" si="12"/>
        <v>20</v>
      </c>
      <c r="G130" s="1">
        <f t="shared" ca="1" si="13"/>
        <v>0</v>
      </c>
      <c r="H130" s="15">
        <f t="shared" si="10"/>
        <v>5</v>
      </c>
      <c r="I130" s="1"/>
      <c r="J130" s="2"/>
    </row>
    <row r="131" spans="1:10" ht="16.2" thickBot="1" x14ac:dyDescent="0.35">
      <c r="A131" s="1">
        <v>130</v>
      </c>
      <c r="B131" s="2">
        <f ca="1">AVERAGE(OFFSET('n=1'!$B$1,(ROW()-2)*$P$2+1,0,$P$2,1))</f>
        <v>51.5</v>
      </c>
      <c r="C131" s="18">
        <f t="shared" ca="1" si="11"/>
        <v>52</v>
      </c>
      <c r="D131" s="1">
        <f t="shared" ca="1" si="14"/>
        <v>86</v>
      </c>
      <c r="E131" s="1">
        <f t="shared" ca="1" si="15"/>
        <v>166</v>
      </c>
      <c r="F131" s="1">
        <f t="shared" ca="1" si="12"/>
        <v>21</v>
      </c>
      <c r="G131" s="1">
        <f t="shared" ca="1" si="13"/>
        <v>0</v>
      </c>
      <c r="H131" s="15">
        <f t="shared" ref="H131:H194" si="16">$O$2</f>
        <v>5</v>
      </c>
      <c r="I131" s="1"/>
      <c r="J131" s="2"/>
    </row>
    <row r="132" spans="1:10" ht="16.2" thickBot="1" x14ac:dyDescent="0.35">
      <c r="A132" s="1">
        <v>131</v>
      </c>
      <c r="B132" s="2">
        <f ca="1">AVERAGE(OFFSET('n=1'!$B$1,(ROW()-2)*$P$2+1,0,$P$2,1))</f>
        <v>49.5</v>
      </c>
      <c r="C132" s="18">
        <f t="shared" ref="C132:C195" ca="1" si="17">B132-$L$2+C131</f>
        <v>51.5</v>
      </c>
      <c r="D132" s="1">
        <f t="shared" ca="1" si="14"/>
        <v>86.5</v>
      </c>
      <c r="E132" s="1">
        <f t="shared" ca="1" si="15"/>
        <v>165.5</v>
      </c>
      <c r="F132" s="1">
        <f t="shared" ca="1" si="12"/>
        <v>20</v>
      </c>
      <c r="G132" s="1">
        <f t="shared" ca="1" si="13"/>
        <v>0</v>
      </c>
      <c r="H132" s="15">
        <f t="shared" si="16"/>
        <v>5</v>
      </c>
      <c r="I132" s="1"/>
      <c r="J132" s="2"/>
    </row>
    <row r="133" spans="1:10" ht="16.2" thickBot="1" x14ac:dyDescent="0.35">
      <c r="A133" s="1">
        <v>132</v>
      </c>
      <c r="B133" s="2">
        <f ca="1">AVERAGE(OFFSET('n=1'!$B$1,(ROW()-2)*$P$2+1,0,$P$2,1))</f>
        <v>55</v>
      </c>
      <c r="C133" s="18">
        <f t="shared" ca="1" si="17"/>
        <v>56.5</v>
      </c>
      <c r="D133" s="1">
        <f t="shared" ca="1" si="14"/>
        <v>87</v>
      </c>
      <c r="E133" s="1">
        <f t="shared" ca="1" si="15"/>
        <v>165</v>
      </c>
      <c r="F133" s="1">
        <f t="shared" ca="1" si="12"/>
        <v>24.5</v>
      </c>
      <c r="G133" s="1">
        <f t="shared" ca="1" si="13"/>
        <v>0</v>
      </c>
      <c r="H133" s="15">
        <f t="shared" si="16"/>
        <v>5</v>
      </c>
      <c r="I133" s="1"/>
      <c r="J133" s="2"/>
    </row>
    <row r="134" spans="1:10" ht="16.2" thickBot="1" x14ac:dyDescent="0.35">
      <c r="A134" s="1">
        <v>133</v>
      </c>
      <c r="B134" s="2">
        <f ca="1">AVERAGE(OFFSET('n=1'!$B$1,(ROW()-2)*$P$2+1,0,$P$2,1))</f>
        <v>53</v>
      </c>
      <c r="C134" s="18">
        <f t="shared" ca="1" si="17"/>
        <v>59.5</v>
      </c>
      <c r="D134" s="1">
        <f t="shared" ca="1" si="14"/>
        <v>87.5</v>
      </c>
      <c r="E134" s="1">
        <f t="shared" ca="1" si="15"/>
        <v>164.5</v>
      </c>
      <c r="F134" s="1">
        <f t="shared" ca="1" si="12"/>
        <v>27</v>
      </c>
      <c r="G134" s="1">
        <f t="shared" ca="1" si="13"/>
        <v>0</v>
      </c>
      <c r="H134" s="15">
        <f t="shared" si="16"/>
        <v>5</v>
      </c>
      <c r="I134" s="1"/>
      <c r="J134" s="2"/>
    </row>
    <row r="135" spans="1:10" ht="16.2" thickBot="1" x14ac:dyDescent="0.35">
      <c r="A135" s="1">
        <v>134</v>
      </c>
      <c r="B135" s="2">
        <f ca="1">AVERAGE(OFFSET('n=1'!$B$1,(ROW()-2)*$P$2+1,0,$P$2,1))</f>
        <v>49</v>
      </c>
      <c r="C135" s="18">
        <f t="shared" ca="1" si="17"/>
        <v>58.5</v>
      </c>
      <c r="D135" s="1">
        <f t="shared" ca="1" si="14"/>
        <v>88</v>
      </c>
      <c r="E135" s="1">
        <f t="shared" ca="1" si="15"/>
        <v>164</v>
      </c>
      <c r="F135" s="1">
        <f t="shared" ca="1" si="12"/>
        <v>25.5</v>
      </c>
      <c r="G135" s="1">
        <f t="shared" ca="1" si="13"/>
        <v>0.5</v>
      </c>
      <c r="H135" s="15">
        <f t="shared" si="16"/>
        <v>5</v>
      </c>
      <c r="I135" s="1"/>
      <c r="J135" s="2"/>
    </row>
    <row r="136" spans="1:10" ht="16.2" thickBot="1" x14ac:dyDescent="0.35">
      <c r="A136" s="1">
        <v>135</v>
      </c>
      <c r="B136" s="2">
        <f ca="1">AVERAGE(OFFSET('n=1'!$B$1,(ROW()-2)*$P$2+1,0,$P$2,1))</f>
        <v>48</v>
      </c>
      <c r="C136" s="18">
        <f t="shared" ca="1" si="17"/>
        <v>56.5</v>
      </c>
      <c r="D136" s="1">
        <f t="shared" ca="1" si="14"/>
        <v>88.5</v>
      </c>
      <c r="E136" s="1">
        <f t="shared" ca="1" si="15"/>
        <v>163.5</v>
      </c>
      <c r="F136" s="1">
        <f t="shared" ca="1" si="12"/>
        <v>23</v>
      </c>
      <c r="G136" s="1">
        <f t="shared" ca="1" si="13"/>
        <v>2</v>
      </c>
      <c r="H136" s="15">
        <f t="shared" si="16"/>
        <v>5</v>
      </c>
      <c r="I136" s="1"/>
      <c r="J136" s="2"/>
    </row>
    <row r="137" spans="1:10" ht="16.2" thickBot="1" x14ac:dyDescent="0.35">
      <c r="A137" s="1">
        <v>136</v>
      </c>
      <c r="B137" s="2">
        <f ca="1">AVERAGE(OFFSET('n=1'!$B$1,(ROW()-2)*$P$2+1,0,$P$2,1))</f>
        <v>47.5</v>
      </c>
      <c r="C137" s="18">
        <f t="shared" ca="1" si="17"/>
        <v>54</v>
      </c>
      <c r="D137" s="1">
        <f t="shared" ca="1" si="14"/>
        <v>89</v>
      </c>
      <c r="E137" s="1">
        <f t="shared" ca="1" si="15"/>
        <v>163</v>
      </c>
      <c r="F137" s="1">
        <f t="shared" ca="1" si="12"/>
        <v>20</v>
      </c>
      <c r="G137" s="1">
        <f t="shared" ca="1" si="13"/>
        <v>4</v>
      </c>
      <c r="H137" s="15">
        <f t="shared" si="16"/>
        <v>5</v>
      </c>
      <c r="I137" s="1"/>
      <c r="J137" s="2"/>
    </row>
    <row r="138" spans="1:10" ht="16.2" thickBot="1" x14ac:dyDescent="0.35">
      <c r="A138" s="1">
        <v>137</v>
      </c>
      <c r="B138" s="2">
        <f ca="1">AVERAGE(OFFSET('n=1'!$B$1,(ROW()-2)*$P$2+1,0,$P$2,1))</f>
        <v>50.5</v>
      </c>
      <c r="C138" s="18">
        <f t="shared" ca="1" si="17"/>
        <v>54.5</v>
      </c>
      <c r="D138" s="1">
        <f t="shared" ca="1" si="14"/>
        <v>89.5</v>
      </c>
      <c r="E138" s="1">
        <f t="shared" ca="1" si="15"/>
        <v>162.5</v>
      </c>
      <c r="F138" s="1">
        <f t="shared" ca="1" si="12"/>
        <v>20</v>
      </c>
      <c r="G138" s="1">
        <f t="shared" ca="1" si="13"/>
        <v>3</v>
      </c>
      <c r="H138" s="15">
        <f t="shared" si="16"/>
        <v>5</v>
      </c>
      <c r="I138" s="1"/>
      <c r="J138" s="2"/>
    </row>
    <row r="139" spans="1:10" ht="16.2" thickBot="1" x14ac:dyDescent="0.35">
      <c r="A139" s="1">
        <v>138</v>
      </c>
      <c r="B139" s="2">
        <f ca="1">AVERAGE(OFFSET('n=1'!$B$1,(ROW()-2)*$P$2+1,0,$P$2,1))</f>
        <v>52.5</v>
      </c>
      <c r="C139" s="18">
        <f t="shared" ca="1" si="17"/>
        <v>57</v>
      </c>
      <c r="D139" s="1">
        <f t="shared" ca="1" si="14"/>
        <v>90</v>
      </c>
      <c r="E139" s="1">
        <f t="shared" ca="1" si="15"/>
        <v>162</v>
      </c>
      <c r="F139" s="1">
        <f t="shared" ca="1" si="12"/>
        <v>22</v>
      </c>
      <c r="G139" s="1">
        <f t="shared" ca="1" si="13"/>
        <v>0</v>
      </c>
      <c r="H139" s="15">
        <f t="shared" si="16"/>
        <v>5</v>
      </c>
      <c r="I139" s="1"/>
      <c r="J139" s="2"/>
    </row>
    <row r="140" spans="1:10" ht="16.2" thickBot="1" x14ac:dyDescent="0.35">
      <c r="A140" s="1">
        <v>139</v>
      </c>
      <c r="B140" s="2">
        <f ca="1">AVERAGE(OFFSET('n=1'!$B$1,(ROW()-2)*$P$2+1,0,$P$2,1))</f>
        <v>52.5</v>
      </c>
      <c r="C140" s="18">
        <f t="shared" ca="1" si="17"/>
        <v>59.5</v>
      </c>
      <c r="D140" s="1">
        <f t="shared" ca="1" si="14"/>
        <v>90.5</v>
      </c>
      <c r="E140" s="1">
        <f t="shared" ca="1" si="15"/>
        <v>161.5</v>
      </c>
      <c r="F140" s="1">
        <f t="shared" ca="1" si="12"/>
        <v>24</v>
      </c>
      <c r="G140" s="1">
        <f t="shared" ca="1" si="13"/>
        <v>0</v>
      </c>
      <c r="H140" s="15">
        <f t="shared" si="16"/>
        <v>5</v>
      </c>
      <c r="I140" s="1"/>
      <c r="J140" s="2"/>
    </row>
    <row r="141" spans="1:10" ht="16.2" thickBot="1" x14ac:dyDescent="0.35">
      <c r="A141" s="1">
        <v>140</v>
      </c>
      <c r="B141" s="2">
        <f ca="1">AVERAGE(OFFSET('n=1'!$B$1,(ROW()-2)*$P$2+1,0,$P$2,1))</f>
        <v>51</v>
      </c>
      <c r="C141" s="18">
        <f t="shared" ca="1" si="17"/>
        <v>60.5</v>
      </c>
      <c r="D141" s="1">
        <f t="shared" ca="1" si="14"/>
        <v>91</v>
      </c>
      <c r="E141" s="1">
        <f t="shared" ca="1" si="15"/>
        <v>161</v>
      </c>
      <c r="F141" s="1">
        <f t="shared" ca="1" si="12"/>
        <v>24.5</v>
      </c>
      <c r="G141" s="1">
        <f t="shared" ca="1" si="13"/>
        <v>0</v>
      </c>
      <c r="H141" s="15">
        <f t="shared" si="16"/>
        <v>5</v>
      </c>
      <c r="I141" s="1"/>
      <c r="J141" s="2"/>
    </row>
    <row r="142" spans="1:10" ht="16.2" thickBot="1" x14ac:dyDescent="0.35">
      <c r="A142" s="1">
        <v>141</v>
      </c>
      <c r="B142" s="2">
        <f ca="1">AVERAGE(OFFSET('n=1'!$B$1,(ROW()-2)*$P$2+1,0,$P$2,1))</f>
        <v>47</v>
      </c>
      <c r="C142" s="18">
        <f t="shared" ca="1" si="17"/>
        <v>57.5</v>
      </c>
      <c r="D142" s="1">
        <f t="shared" ca="1" si="14"/>
        <v>91.5</v>
      </c>
      <c r="E142" s="1">
        <f t="shared" ca="1" si="15"/>
        <v>160.5</v>
      </c>
      <c r="F142" s="1">
        <f t="shared" ca="1" si="12"/>
        <v>21</v>
      </c>
      <c r="G142" s="1">
        <f t="shared" ca="1" si="13"/>
        <v>2.5</v>
      </c>
      <c r="H142" s="15">
        <f t="shared" si="16"/>
        <v>5</v>
      </c>
      <c r="I142" s="1"/>
      <c r="J142" s="2"/>
    </row>
    <row r="143" spans="1:10" ht="16.2" thickBot="1" x14ac:dyDescent="0.35">
      <c r="A143" s="1">
        <v>142</v>
      </c>
      <c r="B143" s="2">
        <f ca="1">AVERAGE(OFFSET('n=1'!$B$1,(ROW()-2)*$P$2+1,0,$P$2,1))</f>
        <v>54</v>
      </c>
      <c r="C143" s="18">
        <f t="shared" ca="1" si="17"/>
        <v>61.5</v>
      </c>
      <c r="D143" s="1">
        <f t="shared" ca="1" si="14"/>
        <v>92</v>
      </c>
      <c r="E143" s="1">
        <f t="shared" ca="1" si="15"/>
        <v>160</v>
      </c>
      <c r="F143" s="1">
        <f t="shared" ca="1" si="12"/>
        <v>24.5</v>
      </c>
      <c r="G143" s="1">
        <f t="shared" ca="1" si="13"/>
        <v>0</v>
      </c>
      <c r="H143" s="15">
        <f t="shared" si="16"/>
        <v>5</v>
      </c>
      <c r="I143" s="1"/>
      <c r="J143" s="2"/>
    </row>
    <row r="144" spans="1:10" ht="16.2" thickBot="1" x14ac:dyDescent="0.35">
      <c r="A144" s="1">
        <v>143</v>
      </c>
      <c r="B144" s="2">
        <f ca="1">AVERAGE(OFFSET('n=1'!$B$1,(ROW()-2)*$P$2+1,0,$P$2,1))</f>
        <v>49.5</v>
      </c>
      <c r="C144" s="18">
        <f t="shared" ca="1" si="17"/>
        <v>61</v>
      </c>
      <c r="D144" s="1">
        <f t="shared" ca="1" si="14"/>
        <v>92.5</v>
      </c>
      <c r="E144" s="1">
        <f t="shared" ca="1" si="15"/>
        <v>159.5</v>
      </c>
      <c r="F144" s="1">
        <f t="shared" ca="1" si="12"/>
        <v>23.5</v>
      </c>
      <c r="G144" s="1">
        <f t="shared" ca="1" si="13"/>
        <v>0</v>
      </c>
      <c r="H144" s="15">
        <f t="shared" si="16"/>
        <v>5</v>
      </c>
      <c r="I144" s="1"/>
      <c r="J144" s="2"/>
    </row>
    <row r="145" spans="1:10" ht="16.2" thickBot="1" x14ac:dyDescent="0.35">
      <c r="A145" s="1">
        <v>144</v>
      </c>
      <c r="B145" s="2">
        <f ca="1">AVERAGE(OFFSET('n=1'!$B$1,(ROW()-2)*$P$2+1,0,$P$2,1))</f>
        <v>53.5</v>
      </c>
      <c r="C145" s="18">
        <f t="shared" ca="1" si="17"/>
        <v>64.5</v>
      </c>
      <c r="D145" s="1">
        <f t="shared" ca="1" si="14"/>
        <v>93</v>
      </c>
      <c r="E145" s="1">
        <f t="shared" ca="1" si="15"/>
        <v>159</v>
      </c>
      <c r="F145" s="1">
        <f t="shared" ca="1" si="12"/>
        <v>26.5</v>
      </c>
      <c r="G145" s="1">
        <f t="shared" ca="1" si="13"/>
        <v>0</v>
      </c>
      <c r="H145" s="15">
        <f t="shared" si="16"/>
        <v>5</v>
      </c>
      <c r="I145" s="1"/>
      <c r="J145" s="2"/>
    </row>
    <row r="146" spans="1:10" ht="16.2" thickBot="1" x14ac:dyDescent="0.35">
      <c r="A146" s="1">
        <v>145</v>
      </c>
      <c r="B146" s="2">
        <f ca="1">AVERAGE(OFFSET('n=1'!$B$1,(ROW()-2)*$P$2+1,0,$P$2,1))</f>
        <v>55</v>
      </c>
      <c r="C146" s="18">
        <f t="shared" ca="1" si="17"/>
        <v>69.5</v>
      </c>
      <c r="D146" s="1">
        <f t="shared" ca="1" si="14"/>
        <v>93.5</v>
      </c>
      <c r="E146" s="1">
        <f t="shared" ca="1" si="15"/>
        <v>158.5</v>
      </c>
      <c r="F146" s="1">
        <f t="shared" ca="1" si="12"/>
        <v>31</v>
      </c>
      <c r="G146" s="1">
        <f t="shared" ca="1" si="13"/>
        <v>0</v>
      </c>
      <c r="H146" s="15">
        <f t="shared" si="16"/>
        <v>5</v>
      </c>
      <c r="I146" s="1"/>
      <c r="J146" s="2"/>
    </row>
    <row r="147" spans="1:10" ht="16.2" thickBot="1" x14ac:dyDescent="0.35">
      <c r="A147" s="1">
        <v>146</v>
      </c>
      <c r="B147" s="2">
        <f ca="1">AVERAGE(OFFSET('n=1'!$B$1,(ROW()-2)*$P$2+1,0,$P$2,1))</f>
        <v>47</v>
      </c>
      <c r="C147" s="18">
        <f t="shared" ca="1" si="17"/>
        <v>66.5</v>
      </c>
      <c r="D147" s="1">
        <f t="shared" ca="1" si="14"/>
        <v>94</v>
      </c>
      <c r="E147" s="1">
        <f t="shared" ca="1" si="15"/>
        <v>158</v>
      </c>
      <c r="F147" s="1">
        <f t="shared" ca="1" si="12"/>
        <v>27.5</v>
      </c>
      <c r="G147" s="1">
        <f t="shared" ca="1" si="13"/>
        <v>2.5</v>
      </c>
      <c r="H147" s="15">
        <f t="shared" si="16"/>
        <v>5</v>
      </c>
      <c r="I147" s="1"/>
      <c r="J147" s="2"/>
    </row>
    <row r="148" spans="1:10" ht="16.2" thickBot="1" x14ac:dyDescent="0.35">
      <c r="A148" s="1">
        <v>147</v>
      </c>
      <c r="B148" s="2">
        <f ca="1">AVERAGE(OFFSET('n=1'!$B$1,(ROW()-2)*$P$2+1,0,$P$2,1))</f>
        <v>53.5</v>
      </c>
      <c r="C148" s="18">
        <f t="shared" ca="1" si="17"/>
        <v>70</v>
      </c>
      <c r="D148" s="1">
        <f t="shared" ca="1" si="14"/>
        <v>94.5</v>
      </c>
      <c r="E148" s="1">
        <f t="shared" ca="1" si="15"/>
        <v>157.5</v>
      </c>
      <c r="F148" s="1">
        <f t="shared" ca="1" si="12"/>
        <v>30.5</v>
      </c>
      <c r="G148" s="1">
        <f t="shared" ca="1" si="13"/>
        <v>0</v>
      </c>
      <c r="H148" s="15">
        <f t="shared" si="16"/>
        <v>5</v>
      </c>
      <c r="I148" s="1"/>
      <c r="J148" s="2"/>
    </row>
    <row r="149" spans="1:10" ht="16.2" thickBot="1" x14ac:dyDescent="0.35">
      <c r="A149" s="1">
        <v>148</v>
      </c>
      <c r="B149" s="2">
        <f ca="1">AVERAGE(OFFSET('n=1'!$B$1,(ROW()-2)*$P$2+1,0,$P$2,1))</f>
        <v>55.5</v>
      </c>
      <c r="C149" s="18">
        <f t="shared" ca="1" si="17"/>
        <v>75.5</v>
      </c>
      <c r="D149" s="1">
        <f t="shared" ca="1" si="14"/>
        <v>95</v>
      </c>
      <c r="E149" s="1">
        <f t="shared" ca="1" si="15"/>
        <v>157</v>
      </c>
      <c r="F149" s="1">
        <f t="shared" ca="1" si="12"/>
        <v>35.5</v>
      </c>
      <c r="G149" s="1">
        <f t="shared" ca="1" si="13"/>
        <v>0</v>
      </c>
      <c r="H149" s="15">
        <f t="shared" si="16"/>
        <v>5</v>
      </c>
      <c r="I149" s="1"/>
      <c r="J149" s="2"/>
    </row>
    <row r="150" spans="1:10" ht="16.2" thickBot="1" x14ac:dyDescent="0.35">
      <c r="A150" s="1">
        <v>149</v>
      </c>
      <c r="B150" s="2">
        <f ca="1">AVERAGE(OFFSET('n=1'!$B$1,(ROW()-2)*$P$2+1,0,$P$2,1))</f>
        <v>52</v>
      </c>
      <c r="C150" s="18">
        <f t="shared" ca="1" si="17"/>
        <v>77.5</v>
      </c>
      <c r="D150" s="1">
        <f t="shared" ca="1" si="14"/>
        <v>95.5</v>
      </c>
      <c r="E150" s="1">
        <f t="shared" ca="1" si="15"/>
        <v>156.5</v>
      </c>
      <c r="F150" s="1">
        <f t="shared" ca="1" si="12"/>
        <v>37</v>
      </c>
      <c r="G150" s="1">
        <f t="shared" ca="1" si="13"/>
        <v>0</v>
      </c>
      <c r="H150" s="15">
        <f t="shared" si="16"/>
        <v>5</v>
      </c>
      <c r="I150" s="1"/>
      <c r="J150" s="2"/>
    </row>
    <row r="151" spans="1:10" ht="16.2" thickBot="1" x14ac:dyDescent="0.35">
      <c r="A151" s="1">
        <v>150</v>
      </c>
      <c r="B151" s="2">
        <f ca="1">AVERAGE(OFFSET('n=1'!$B$1,(ROW()-2)*$P$2+1,0,$P$2,1))</f>
        <v>53.5</v>
      </c>
      <c r="C151" s="18">
        <f t="shared" ca="1" si="17"/>
        <v>81</v>
      </c>
      <c r="D151" s="1">
        <f t="shared" ca="1" si="14"/>
        <v>96</v>
      </c>
      <c r="E151" s="1">
        <f t="shared" ca="1" si="15"/>
        <v>156</v>
      </c>
      <c r="F151" s="1">
        <f t="shared" ca="1" si="12"/>
        <v>40</v>
      </c>
      <c r="G151" s="1">
        <f t="shared" ca="1" si="13"/>
        <v>0</v>
      </c>
      <c r="H151" s="15">
        <f t="shared" si="16"/>
        <v>5</v>
      </c>
      <c r="I151" s="1"/>
      <c r="J151" s="2"/>
    </row>
    <row r="152" spans="1:10" ht="16.2" thickBot="1" x14ac:dyDescent="0.35">
      <c r="A152" s="1">
        <v>151</v>
      </c>
      <c r="B152" s="2">
        <f ca="1">AVERAGE(OFFSET('n=1'!$B$1,(ROW()-2)*$P$2+1,0,$P$2,1))</f>
        <v>50.5</v>
      </c>
      <c r="C152" s="18">
        <f t="shared" ca="1" si="17"/>
        <v>81.5</v>
      </c>
      <c r="D152" s="1">
        <f t="shared" ca="1" si="14"/>
        <v>96.5</v>
      </c>
      <c r="E152" s="1">
        <f t="shared" ca="1" si="15"/>
        <v>155.5</v>
      </c>
      <c r="F152" s="1">
        <f t="shared" ca="1" si="12"/>
        <v>40</v>
      </c>
      <c r="G152" s="1">
        <f t="shared" ca="1" si="13"/>
        <v>0</v>
      </c>
      <c r="H152" s="15">
        <f t="shared" si="16"/>
        <v>5</v>
      </c>
      <c r="I152" s="1"/>
      <c r="J152" s="2"/>
    </row>
    <row r="153" spans="1:10" ht="16.2" thickBot="1" x14ac:dyDescent="0.35">
      <c r="A153" s="1">
        <v>152</v>
      </c>
      <c r="B153" s="2">
        <f ca="1">AVERAGE(OFFSET('n=1'!$B$1,(ROW()-2)*$P$2+1,0,$P$2,1))</f>
        <v>46.5</v>
      </c>
      <c r="C153" s="18">
        <f t="shared" ca="1" si="17"/>
        <v>78</v>
      </c>
      <c r="D153" s="1">
        <f t="shared" ca="1" si="14"/>
        <v>97</v>
      </c>
      <c r="E153" s="1">
        <f t="shared" ca="1" si="15"/>
        <v>155</v>
      </c>
      <c r="F153" s="1">
        <f t="shared" ca="1" si="12"/>
        <v>36</v>
      </c>
      <c r="G153" s="1">
        <f t="shared" ca="1" si="13"/>
        <v>3</v>
      </c>
      <c r="H153" s="15">
        <f t="shared" si="16"/>
        <v>5</v>
      </c>
      <c r="I153" s="1"/>
      <c r="J153" s="2"/>
    </row>
    <row r="154" spans="1:10" ht="16.2" thickBot="1" x14ac:dyDescent="0.35">
      <c r="A154" s="1">
        <v>153</v>
      </c>
      <c r="B154" s="2">
        <f ca="1">AVERAGE(OFFSET('n=1'!$B$1,(ROW()-2)*$P$2+1,0,$P$2,1))</f>
        <v>52</v>
      </c>
      <c r="C154" s="18">
        <f t="shared" ca="1" si="17"/>
        <v>80</v>
      </c>
      <c r="D154" s="1">
        <f t="shared" ca="1" si="14"/>
        <v>97.5</v>
      </c>
      <c r="E154" s="1">
        <f t="shared" ca="1" si="15"/>
        <v>154.5</v>
      </c>
      <c r="F154" s="1">
        <f t="shared" ca="1" si="12"/>
        <v>37.5</v>
      </c>
      <c r="G154" s="1">
        <f t="shared" ca="1" si="13"/>
        <v>0.5</v>
      </c>
      <c r="H154" s="15">
        <f t="shared" si="16"/>
        <v>5</v>
      </c>
      <c r="I154" s="1"/>
      <c r="J154" s="2"/>
    </row>
    <row r="155" spans="1:10" ht="16.2" thickBot="1" x14ac:dyDescent="0.35">
      <c r="A155" s="1">
        <v>154</v>
      </c>
      <c r="B155" s="2">
        <f ca="1">AVERAGE(OFFSET('n=1'!$B$1,(ROW()-2)*$P$2+1,0,$P$2,1))</f>
        <v>50.5</v>
      </c>
      <c r="C155" s="18">
        <f t="shared" ca="1" si="17"/>
        <v>80.5</v>
      </c>
      <c r="D155" s="1">
        <f t="shared" ca="1" si="14"/>
        <v>98</v>
      </c>
      <c r="E155" s="1">
        <f t="shared" ca="1" si="15"/>
        <v>154</v>
      </c>
      <c r="F155" s="1">
        <f t="shared" ca="1" si="12"/>
        <v>37.5</v>
      </c>
      <c r="G155" s="1">
        <f t="shared" ca="1" si="13"/>
        <v>0</v>
      </c>
      <c r="H155" s="15">
        <f t="shared" si="16"/>
        <v>5</v>
      </c>
      <c r="I155" s="1"/>
      <c r="J155" s="2"/>
    </row>
    <row r="156" spans="1:10" ht="16.2" thickBot="1" x14ac:dyDescent="0.35">
      <c r="A156" s="1">
        <v>155</v>
      </c>
      <c r="B156" s="2">
        <f ca="1">AVERAGE(OFFSET('n=1'!$B$1,(ROW()-2)*$P$2+1,0,$P$2,1))</f>
        <v>49</v>
      </c>
      <c r="C156" s="18">
        <f t="shared" ca="1" si="17"/>
        <v>79.5</v>
      </c>
      <c r="D156" s="1">
        <f t="shared" ca="1" si="14"/>
        <v>98.5</v>
      </c>
      <c r="E156" s="1">
        <f t="shared" ca="1" si="15"/>
        <v>153.5</v>
      </c>
      <c r="F156" s="1">
        <f t="shared" ca="1" si="12"/>
        <v>36</v>
      </c>
      <c r="G156" s="1">
        <f t="shared" ca="1" si="13"/>
        <v>0.5</v>
      </c>
      <c r="H156" s="15">
        <f t="shared" si="16"/>
        <v>5</v>
      </c>
      <c r="I156" s="1"/>
      <c r="J156" s="2"/>
    </row>
    <row r="157" spans="1:10" ht="16.2" thickBot="1" x14ac:dyDescent="0.35">
      <c r="A157" s="1">
        <v>156</v>
      </c>
      <c r="B157" s="2">
        <f ca="1">AVERAGE(OFFSET('n=1'!$B$1,(ROW()-2)*$P$2+1,0,$P$2,1))</f>
        <v>49.5</v>
      </c>
      <c r="C157" s="18">
        <f t="shared" ca="1" si="17"/>
        <v>79</v>
      </c>
      <c r="D157" s="1">
        <f t="shared" ca="1" si="14"/>
        <v>99</v>
      </c>
      <c r="E157" s="1">
        <f t="shared" ca="1" si="15"/>
        <v>153</v>
      </c>
      <c r="F157" s="1">
        <f t="shared" ca="1" si="12"/>
        <v>35</v>
      </c>
      <c r="G157" s="1">
        <f t="shared" ca="1" si="13"/>
        <v>0.5</v>
      </c>
      <c r="H157" s="15">
        <f t="shared" si="16"/>
        <v>5</v>
      </c>
      <c r="I157" s="1"/>
      <c r="J157" s="2"/>
    </row>
    <row r="158" spans="1:10" ht="16.2" thickBot="1" x14ac:dyDescent="0.35">
      <c r="A158" s="1">
        <v>157</v>
      </c>
      <c r="B158" s="2">
        <f ca="1">AVERAGE(OFFSET('n=1'!$B$1,(ROW()-2)*$P$2+1,0,$P$2,1))</f>
        <v>49.5</v>
      </c>
      <c r="C158" s="18">
        <f t="shared" ca="1" si="17"/>
        <v>78.5</v>
      </c>
      <c r="D158" s="1">
        <f t="shared" ca="1" si="14"/>
        <v>99.5</v>
      </c>
      <c r="E158" s="1">
        <f t="shared" ca="1" si="15"/>
        <v>152.5</v>
      </c>
      <c r="F158" s="1">
        <f t="shared" ca="1" si="12"/>
        <v>34</v>
      </c>
      <c r="G158" s="1">
        <f t="shared" ca="1" si="13"/>
        <v>0.5</v>
      </c>
      <c r="H158" s="15">
        <f t="shared" si="16"/>
        <v>5</v>
      </c>
      <c r="I158" s="1"/>
      <c r="J158" s="2"/>
    </row>
    <row r="159" spans="1:10" ht="16.2" thickBot="1" x14ac:dyDescent="0.35">
      <c r="A159" s="1">
        <v>158</v>
      </c>
      <c r="B159" s="2">
        <f ca="1">AVERAGE(OFFSET('n=1'!$B$1,(ROW()-2)*$P$2+1,0,$P$2,1))</f>
        <v>54</v>
      </c>
      <c r="C159" s="18">
        <f t="shared" ca="1" si="17"/>
        <v>82.5</v>
      </c>
      <c r="D159" s="1">
        <f t="shared" ca="1" si="14"/>
        <v>100</v>
      </c>
      <c r="E159" s="1">
        <f t="shared" ca="1" si="15"/>
        <v>152</v>
      </c>
      <c r="F159" s="1">
        <f t="shared" ca="1" si="12"/>
        <v>37.5</v>
      </c>
      <c r="G159" s="1">
        <f t="shared" ca="1" si="13"/>
        <v>0</v>
      </c>
      <c r="H159" s="15">
        <f t="shared" si="16"/>
        <v>5</v>
      </c>
      <c r="I159" s="1"/>
      <c r="J159" s="2"/>
    </row>
    <row r="160" spans="1:10" ht="16.2" thickBot="1" x14ac:dyDescent="0.35">
      <c r="A160" s="1">
        <v>159</v>
      </c>
      <c r="B160" s="2">
        <f ca="1">AVERAGE(OFFSET('n=1'!$B$1,(ROW()-2)*$P$2+1,0,$P$2,1))</f>
        <v>50.5</v>
      </c>
      <c r="C160" s="18">
        <f t="shared" ca="1" si="17"/>
        <v>83</v>
      </c>
      <c r="D160" s="1">
        <f t="shared" ca="1" si="14"/>
        <v>100.5</v>
      </c>
      <c r="E160" s="1">
        <f t="shared" ca="1" si="15"/>
        <v>151.5</v>
      </c>
      <c r="F160" s="1">
        <f t="shared" ca="1" si="12"/>
        <v>37.5</v>
      </c>
      <c r="G160" s="1">
        <f t="shared" ca="1" si="13"/>
        <v>0</v>
      </c>
      <c r="H160" s="15">
        <f t="shared" si="16"/>
        <v>5</v>
      </c>
      <c r="I160" s="1"/>
      <c r="J160" s="2"/>
    </row>
    <row r="161" spans="1:10" ht="16.2" thickBot="1" x14ac:dyDescent="0.35">
      <c r="A161" s="1">
        <v>160</v>
      </c>
      <c r="B161" s="2">
        <f ca="1">AVERAGE(OFFSET('n=1'!$B$1,(ROW()-2)*$P$2+1,0,$P$2,1))</f>
        <v>47.5</v>
      </c>
      <c r="C161" s="18">
        <f t="shared" ca="1" si="17"/>
        <v>80.5</v>
      </c>
      <c r="D161" s="1">
        <f t="shared" ca="1" si="14"/>
        <v>101</v>
      </c>
      <c r="E161" s="1">
        <f t="shared" ca="1" si="15"/>
        <v>151</v>
      </c>
      <c r="F161" s="1">
        <f t="shared" ca="1" si="12"/>
        <v>34.5</v>
      </c>
      <c r="G161" s="1">
        <f t="shared" ca="1" si="13"/>
        <v>2</v>
      </c>
      <c r="H161" s="15">
        <f t="shared" si="16"/>
        <v>5</v>
      </c>
      <c r="I161" s="1"/>
      <c r="J161" s="2"/>
    </row>
    <row r="162" spans="1:10" ht="16.2" thickBot="1" x14ac:dyDescent="0.35">
      <c r="A162" s="1">
        <v>161</v>
      </c>
      <c r="B162" s="2">
        <f ca="1">AVERAGE(OFFSET('n=1'!$B$1,(ROW()-2)*$P$2+1,0,$P$2,1))</f>
        <v>54</v>
      </c>
      <c r="C162" s="18">
        <f t="shared" ca="1" si="17"/>
        <v>84.5</v>
      </c>
      <c r="D162" s="1">
        <f t="shared" ca="1" si="14"/>
        <v>101.5</v>
      </c>
      <c r="E162" s="1">
        <f t="shared" ca="1" si="15"/>
        <v>150.5</v>
      </c>
      <c r="F162" s="1">
        <f t="shared" ca="1" si="12"/>
        <v>38</v>
      </c>
      <c r="G162" s="1">
        <f t="shared" ca="1" si="13"/>
        <v>0</v>
      </c>
      <c r="H162" s="15">
        <f t="shared" si="16"/>
        <v>5</v>
      </c>
      <c r="I162" s="1"/>
      <c r="J162" s="2"/>
    </row>
    <row r="163" spans="1:10" ht="16.2" thickBot="1" x14ac:dyDescent="0.35">
      <c r="A163" s="1">
        <v>162</v>
      </c>
      <c r="B163" s="2">
        <f ca="1">AVERAGE(OFFSET('n=1'!$B$1,(ROW()-2)*$P$2+1,0,$P$2,1))</f>
        <v>54.5</v>
      </c>
      <c r="C163" s="18">
        <f t="shared" ca="1" si="17"/>
        <v>89</v>
      </c>
      <c r="D163" s="1">
        <f t="shared" ca="1" si="14"/>
        <v>102</v>
      </c>
      <c r="E163" s="1">
        <f t="shared" ca="1" si="15"/>
        <v>150</v>
      </c>
      <c r="F163" s="1">
        <f t="shared" ca="1" si="12"/>
        <v>42</v>
      </c>
      <c r="G163" s="1">
        <f t="shared" ca="1" si="13"/>
        <v>0</v>
      </c>
      <c r="H163" s="15">
        <f t="shared" si="16"/>
        <v>5</v>
      </c>
      <c r="I163" s="1"/>
      <c r="J163" s="2"/>
    </row>
    <row r="164" spans="1:10" ht="16.2" thickBot="1" x14ac:dyDescent="0.35">
      <c r="A164" s="1">
        <v>163</v>
      </c>
      <c r="B164" s="2">
        <f ca="1">AVERAGE(OFFSET('n=1'!$B$1,(ROW()-2)*$P$2+1,0,$P$2,1))</f>
        <v>50.5</v>
      </c>
      <c r="C164" s="18">
        <f t="shared" ca="1" si="17"/>
        <v>89.5</v>
      </c>
      <c r="D164" s="1">
        <f t="shared" ca="1" si="14"/>
        <v>102.5</v>
      </c>
      <c r="E164" s="1">
        <f t="shared" ca="1" si="15"/>
        <v>149.5</v>
      </c>
      <c r="F164" s="1">
        <f t="shared" ca="1" si="12"/>
        <v>42</v>
      </c>
      <c r="G164" s="1">
        <f t="shared" ca="1" si="13"/>
        <v>0</v>
      </c>
      <c r="H164" s="15">
        <f t="shared" si="16"/>
        <v>5</v>
      </c>
      <c r="I164" s="1"/>
      <c r="J164" s="2"/>
    </row>
    <row r="165" spans="1:10" ht="16.2" thickBot="1" x14ac:dyDescent="0.35">
      <c r="A165" s="1">
        <v>164</v>
      </c>
      <c r="B165" s="2">
        <f ca="1">AVERAGE(OFFSET('n=1'!$B$1,(ROW()-2)*$P$2+1,0,$P$2,1))</f>
        <v>47.5</v>
      </c>
      <c r="C165" s="18">
        <f t="shared" ca="1" si="17"/>
        <v>87</v>
      </c>
      <c r="D165" s="1">
        <f t="shared" ca="1" si="14"/>
        <v>103</v>
      </c>
      <c r="E165" s="1">
        <f t="shared" ca="1" si="15"/>
        <v>149</v>
      </c>
      <c r="F165" s="1">
        <f t="shared" ca="1" si="12"/>
        <v>39</v>
      </c>
      <c r="G165" s="1">
        <f t="shared" ca="1" si="13"/>
        <v>2</v>
      </c>
      <c r="H165" s="15">
        <f t="shared" si="16"/>
        <v>5</v>
      </c>
      <c r="I165" s="1"/>
      <c r="J165" s="2"/>
    </row>
    <row r="166" spans="1:10" ht="16.2" thickBot="1" x14ac:dyDescent="0.35">
      <c r="A166" s="1">
        <v>165</v>
      </c>
      <c r="B166" s="2">
        <f ca="1">AVERAGE(OFFSET('n=1'!$B$1,(ROW()-2)*$P$2+1,0,$P$2,1))</f>
        <v>47</v>
      </c>
      <c r="C166" s="18">
        <f t="shared" ca="1" si="17"/>
        <v>84</v>
      </c>
      <c r="D166" s="1">
        <f t="shared" ca="1" si="14"/>
        <v>103.5</v>
      </c>
      <c r="E166" s="1">
        <f t="shared" ca="1" si="15"/>
        <v>148.5</v>
      </c>
      <c r="F166" s="1">
        <f t="shared" ca="1" si="12"/>
        <v>35.5</v>
      </c>
      <c r="G166" s="1">
        <f t="shared" ca="1" si="13"/>
        <v>4.5</v>
      </c>
      <c r="H166" s="15">
        <f t="shared" si="16"/>
        <v>5</v>
      </c>
      <c r="I166" s="1"/>
      <c r="J166" s="2"/>
    </row>
    <row r="167" spans="1:10" ht="16.2" thickBot="1" x14ac:dyDescent="0.35">
      <c r="A167" s="1">
        <v>166</v>
      </c>
      <c r="B167" s="2">
        <f ca="1">AVERAGE(OFFSET('n=1'!$B$1,(ROW()-2)*$P$2+1,0,$P$2,1))</f>
        <v>50</v>
      </c>
      <c r="C167" s="18">
        <f t="shared" ca="1" si="17"/>
        <v>84</v>
      </c>
      <c r="D167" s="1">
        <f t="shared" ca="1" si="14"/>
        <v>104</v>
      </c>
      <c r="E167" s="1">
        <f t="shared" ca="1" si="15"/>
        <v>148</v>
      </c>
      <c r="F167" s="1">
        <f t="shared" ca="1" si="12"/>
        <v>35</v>
      </c>
      <c r="G167" s="1">
        <f t="shared" ca="1" si="13"/>
        <v>4</v>
      </c>
      <c r="H167" s="15">
        <f t="shared" si="16"/>
        <v>5</v>
      </c>
      <c r="I167" s="1"/>
      <c r="J167" s="2"/>
    </row>
    <row r="168" spans="1:10" ht="16.2" thickBot="1" x14ac:dyDescent="0.35">
      <c r="A168" s="1">
        <v>167</v>
      </c>
      <c r="B168" s="2">
        <f ca="1">AVERAGE(OFFSET('n=1'!$B$1,(ROW()-2)*$P$2+1,0,$P$2,1))</f>
        <v>50.5</v>
      </c>
      <c r="C168" s="18">
        <f t="shared" ca="1" si="17"/>
        <v>84.5</v>
      </c>
      <c r="D168" s="1">
        <f t="shared" ca="1" si="14"/>
        <v>104.5</v>
      </c>
      <c r="E168" s="1">
        <f t="shared" ca="1" si="15"/>
        <v>147.5</v>
      </c>
      <c r="F168" s="1">
        <f t="shared" ca="1" si="12"/>
        <v>35</v>
      </c>
      <c r="G168" s="1">
        <f t="shared" ca="1" si="13"/>
        <v>3</v>
      </c>
      <c r="H168" s="15">
        <f t="shared" si="16"/>
        <v>5</v>
      </c>
      <c r="I168" s="1"/>
      <c r="J168" s="2"/>
    </row>
    <row r="169" spans="1:10" ht="16.2" thickBot="1" x14ac:dyDescent="0.35">
      <c r="A169" s="1">
        <v>168</v>
      </c>
      <c r="B169" s="2">
        <f ca="1">AVERAGE(OFFSET('n=1'!$B$1,(ROW()-2)*$P$2+1,0,$P$2,1))</f>
        <v>48.5</v>
      </c>
      <c r="C169" s="18">
        <f t="shared" ca="1" si="17"/>
        <v>83</v>
      </c>
      <c r="D169" s="1">
        <f t="shared" ca="1" si="14"/>
        <v>105</v>
      </c>
      <c r="E169" s="1">
        <f t="shared" ca="1" si="15"/>
        <v>147</v>
      </c>
      <c r="F169" s="1">
        <f t="shared" ref="F169:F201" ca="1" si="18">MAX(0,B169-$L$2-$M$2+F168)</f>
        <v>33</v>
      </c>
      <c r="G169" s="1">
        <f t="shared" ref="G169:G201" ca="1" si="19">MAX(0,$L$2-B169-$M$2+G168)</f>
        <v>4</v>
      </c>
      <c r="H169" s="15">
        <f t="shared" si="16"/>
        <v>5</v>
      </c>
      <c r="I169" s="1"/>
      <c r="J169" s="2"/>
    </row>
    <row r="170" spans="1:10" ht="16.2" thickBot="1" x14ac:dyDescent="0.35">
      <c r="A170" s="1">
        <v>169</v>
      </c>
      <c r="B170" s="2">
        <f ca="1">AVERAGE(OFFSET('n=1'!$B$1,(ROW()-2)*$P$2+1,0,$P$2,1))</f>
        <v>48.5</v>
      </c>
      <c r="C170" s="18">
        <f t="shared" ca="1" si="17"/>
        <v>81.5</v>
      </c>
      <c r="D170" s="1">
        <f t="shared" ca="1" si="14"/>
        <v>105.5</v>
      </c>
      <c r="E170" s="1">
        <f t="shared" ca="1" si="15"/>
        <v>146.5</v>
      </c>
      <c r="F170" s="1">
        <f t="shared" ca="1" si="18"/>
        <v>31</v>
      </c>
      <c r="G170" s="1">
        <f t="shared" ca="1" si="19"/>
        <v>5</v>
      </c>
      <c r="H170" s="15">
        <f t="shared" si="16"/>
        <v>5</v>
      </c>
      <c r="I170" s="1"/>
      <c r="J170" s="2"/>
    </row>
    <row r="171" spans="1:10" ht="16.2" thickBot="1" x14ac:dyDescent="0.35">
      <c r="A171" s="1">
        <v>170</v>
      </c>
      <c r="B171" s="2">
        <f ca="1">AVERAGE(OFFSET('n=1'!$B$1,(ROW()-2)*$P$2+1,0,$P$2,1))</f>
        <v>52.5</v>
      </c>
      <c r="C171" s="18">
        <f t="shared" ca="1" si="17"/>
        <v>84</v>
      </c>
      <c r="D171" s="1">
        <f t="shared" ca="1" si="14"/>
        <v>106</v>
      </c>
      <c r="E171" s="1">
        <f t="shared" ca="1" si="15"/>
        <v>146</v>
      </c>
      <c r="F171" s="1">
        <f t="shared" ca="1" si="18"/>
        <v>33</v>
      </c>
      <c r="G171" s="1">
        <f t="shared" ca="1" si="19"/>
        <v>2</v>
      </c>
      <c r="H171" s="15">
        <f t="shared" si="16"/>
        <v>5</v>
      </c>
      <c r="I171" s="1"/>
      <c r="J171" s="2"/>
    </row>
    <row r="172" spans="1:10" ht="16.2" thickBot="1" x14ac:dyDescent="0.35">
      <c r="A172" s="1">
        <v>171</v>
      </c>
      <c r="B172" s="2">
        <f ca="1">AVERAGE(OFFSET('n=1'!$B$1,(ROW()-2)*$P$2+1,0,$P$2,1))</f>
        <v>50</v>
      </c>
      <c r="C172" s="18">
        <f t="shared" ca="1" si="17"/>
        <v>84</v>
      </c>
      <c r="D172" s="1">
        <f t="shared" ca="1" si="14"/>
        <v>106.5</v>
      </c>
      <c r="E172" s="1">
        <f t="shared" ca="1" si="15"/>
        <v>145.5</v>
      </c>
      <c r="F172" s="1">
        <f t="shared" ca="1" si="18"/>
        <v>32.5</v>
      </c>
      <c r="G172" s="1">
        <f t="shared" ca="1" si="19"/>
        <v>1.5</v>
      </c>
      <c r="H172" s="15">
        <f t="shared" si="16"/>
        <v>5</v>
      </c>
      <c r="I172" s="1"/>
      <c r="J172" s="2"/>
    </row>
    <row r="173" spans="1:10" ht="16.2" thickBot="1" x14ac:dyDescent="0.35">
      <c r="A173" s="1">
        <v>172</v>
      </c>
      <c r="B173" s="2">
        <f ca="1">AVERAGE(OFFSET('n=1'!$B$1,(ROW()-2)*$P$2+1,0,$P$2,1))</f>
        <v>51</v>
      </c>
      <c r="C173" s="18">
        <f t="shared" ca="1" si="17"/>
        <v>85</v>
      </c>
      <c r="D173" s="1">
        <f t="shared" ca="1" si="14"/>
        <v>107</v>
      </c>
      <c r="E173" s="1">
        <f t="shared" ca="1" si="15"/>
        <v>145</v>
      </c>
      <c r="F173" s="1">
        <f t="shared" ca="1" si="18"/>
        <v>33</v>
      </c>
      <c r="G173" s="1">
        <f t="shared" ca="1" si="19"/>
        <v>0</v>
      </c>
      <c r="H173" s="15">
        <f t="shared" si="16"/>
        <v>5</v>
      </c>
      <c r="I173" s="1"/>
      <c r="J173" s="2"/>
    </row>
    <row r="174" spans="1:10" ht="16.2" thickBot="1" x14ac:dyDescent="0.35">
      <c r="A174" s="1">
        <v>173</v>
      </c>
      <c r="B174" s="2">
        <f ca="1">AVERAGE(OFFSET('n=1'!$B$1,(ROW()-2)*$P$2+1,0,$P$2,1))</f>
        <v>51.5</v>
      </c>
      <c r="C174" s="18">
        <f t="shared" ca="1" si="17"/>
        <v>86.5</v>
      </c>
      <c r="D174" s="1">
        <f t="shared" ca="1" si="14"/>
        <v>107.5</v>
      </c>
      <c r="E174" s="1">
        <f t="shared" ca="1" si="15"/>
        <v>144.5</v>
      </c>
      <c r="F174" s="1">
        <f t="shared" ca="1" si="18"/>
        <v>34</v>
      </c>
      <c r="G174" s="1">
        <f t="shared" ca="1" si="19"/>
        <v>0</v>
      </c>
      <c r="H174" s="15">
        <f t="shared" si="16"/>
        <v>5</v>
      </c>
      <c r="I174" s="1"/>
      <c r="J174" s="2"/>
    </row>
    <row r="175" spans="1:10" ht="16.2" thickBot="1" x14ac:dyDescent="0.35">
      <c r="A175" s="1">
        <v>174</v>
      </c>
      <c r="B175" s="2">
        <f ca="1">AVERAGE(OFFSET('n=1'!$B$1,(ROW()-2)*$P$2+1,0,$P$2,1))</f>
        <v>50.5</v>
      </c>
      <c r="C175" s="18">
        <f t="shared" ca="1" si="17"/>
        <v>87</v>
      </c>
      <c r="D175" s="1">
        <f t="shared" ca="1" si="14"/>
        <v>108</v>
      </c>
      <c r="E175" s="1">
        <f t="shared" ca="1" si="15"/>
        <v>144</v>
      </c>
      <c r="F175" s="1">
        <f t="shared" ca="1" si="18"/>
        <v>34</v>
      </c>
      <c r="G175" s="1">
        <f t="shared" ca="1" si="19"/>
        <v>0</v>
      </c>
      <c r="H175" s="15">
        <f t="shared" si="16"/>
        <v>5</v>
      </c>
      <c r="I175" s="1"/>
      <c r="J175" s="2"/>
    </row>
    <row r="176" spans="1:10" ht="16.2" thickBot="1" x14ac:dyDescent="0.35">
      <c r="A176" s="1">
        <v>175</v>
      </c>
      <c r="B176" s="2">
        <f ca="1">AVERAGE(OFFSET('n=1'!$B$1,(ROW()-2)*$P$2+1,0,$P$2,1))</f>
        <v>50</v>
      </c>
      <c r="C176" s="18">
        <f t="shared" ca="1" si="17"/>
        <v>87</v>
      </c>
      <c r="D176" s="1">
        <f t="shared" ca="1" si="14"/>
        <v>108.5</v>
      </c>
      <c r="E176" s="1">
        <f t="shared" ca="1" si="15"/>
        <v>143.5</v>
      </c>
      <c r="F176" s="1">
        <f t="shared" ca="1" si="18"/>
        <v>33.5</v>
      </c>
      <c r="G176" s="1">
        <f t="shared" ca="1" si="19"/>
        <v>0</v>
      </c>
      <c r="H176" s="15">
        <f t="shared" si="16"/>
        <v>5</v>
      </c>
      <c r="I176" s="1"/>
      <c r="J176" s="2"/>
    </row>
    <row r="177" spans="1:10" ht="16.2" thickBot="1" x14ac:dyDescent="0.35">
      <c r="A177" s="1">
        <v>176</v>
      </c>
      <c r="B177" s="2">
        <f ca="1">AVERAGE(OFFSET('n=1'!$B$1,(ROW()-2)*$P$2+1,0,$P$2,1))</f>
        <v>52</v>
      </c>
      <c r="C177" s="18">
        <f t="shared" ca="1" si="17"/>
        <v>89</v>
      </c>
      <c r="D177" s="1">
        <f t="shared" ca="1" si="14"/>
        <v>109</v>
      </c>
      <c r="E177" s="1">
        <f t="shared" ca="1" si="15"/>
        <v>143</v>
      </c>
      <c r="F177" s="1">
        <f t="shared" ca="1" si="18"/>
        <v>35</v>
      </c>
      <c r="G177" s="1">
        <f t="shared" ca="1" si="19"/>
        <v>0</v>
      </c>
      <c r="H177" s="15">
        <f t="shared" si="16"/>
        <v>5</v>
      </c>
      <c r="I177" s="1"/>
      <c r="J177" s="2"/>
    </row>
    <row r="178" spans="1:10" ht="16.2" thickBot="1" x14ac:dyDescent="0.35">
      <c r="A178" s="1">
        <v>177</v>
      </c>
      <c r="B178" s="2">
        <f ca="1">AVERAGE(OFFSET('n=1'!$B$1,(ROW()-2)*$P$2+1,0,$P$2,1))</f>
        <v>51</v>
      </c>
      <c r="C178" s="18">
        <f t="shared" ca="1" si="17"/>
        <v>90</v>
      </c>
      <c r="D178" s="1">
        <f t="shared" ca="1" si="14"/>
        <v>109.5</v>
      </c>
      <c r="E178" s="1">
        <f t="shared" ca="1" si="15"/>
        <v>142.5</v>
      </c>
      <c r="F178" s="1">
        <f t="shared" ca="1" si="18"/>
        <v>35.5</v>
      </c>
      <c r="G178" s="1">
        <f t="shared" ca="1" si="19"/>
        <v>0</v>
      </c>
      <c r="H178" s="15">
        <f t="shared" si="16"/>
        <v>5</v>
      </c>
      <c r="I178" s="1"/>
      <c r="J178" s="2"/>
    </row>
    <row r="179" spans="1:10" ht="16.2" thickBot="1" x14ac:dyDescent="0.35">
      <c r="A179" s="1">
        <v>178</v>
      </c>
      <c r="B179" s="2">
        <f ca="1">AVERAGE(OFFSET('n=1'!$B$1,(ROW()-2)*$P$2+1,0,$P$2,1))</f>
        <v>52</v>
      </c>
      <c r="C179" s="18">
        <f t="shared" ca="1" si="17"/>
        <v>92</v>
      </c>
      <c r="D179" s="1">
        <f t="shared" ca="1" si="14"/>
        <v>110</v>
      </c>
      <c r="E179" s="1">
        <f t="shared" ca="1" si="15"/>
        <v>142</v>
      </c>
      <c r="F179" s="1">
        <f t="shared" ca="1" si="18"/>
        <v>37</v>
      </c>
      <c r="G179" s="1">
        <f t="shared" ca="1" si="19"/>
        <v>0</v>
      </c>
      <c r="H179" s="15">
        <f t="shared" si="16"/>
        <v>5</v>
      </c>
      <c r="I179" s="1"/>
      <c r="J179" s="2"/>
    </row>
    <row r="180" spans="1:10" ht="16.2" thickBot="1" x14ac:dyDescent="0.35">
      <c r="A180" s="1">
        <v>179</v>
      </c>
      <c r="B180" s="2">
        <f ca="1">AVERAGE(OFFSET('n=1'!$B$1,(ROW()-2)*$P$2+1,0,$P$2,1))</f>
        <v>52.5</v>
      </c>
      <c r="C180" s="18">
        <f t="shared" ca="1" si="17"/>
        <v>94.5</v>
      </c>
      <c r="D180" s="1">
        <f t="shared" ca="1" si="14"/>
        <v>110.5</v>
      </c>
      <c r="E180" s="1">
        <f t="shared" ca="1" si="15"/>
        <v>141.5</v>
      </c>
      <c r="F180" s="1">
        <f t="shared" ca="1" si="18"/>
        <v>39</v>
      </c>
      <c r="G180" s="1">
        <f t="shared" ca="1" si="19"/>
        <v>0</v>
      </c>
      <c r="H180" s="15">
        <f t="shared" si="16"/>
        <v>5</v>
      </c>
      <c r="I180" s="1"/>
      <c r="J180" s="2"/>
    </row>
    <row r="181" spans="1:10" ht="16.2" thickBot="1" x14ac:dyDescent="0.35">
      <c r="A181" s="1">
        <v>180</v>
      </c>
      <c r="B181" s="2">
        <f ca="1">AVERAGE(OFFSET('n=1'!$B$1,(ROW()-2)*$P$2+1,0,$P$2,1))</f>
        <v>52.5</v>
      </c>
      <c r="C181" s="18">
        <f t="shared" ca="1" si="17"/>
        <v>97</v>
      </c>
      <c r="D181" s="1">
        <f t="shared" ca="1" si="14"/>
        <v>111</v>
      </c>
      <c r="E181" s="1">
        <f t="shared" ca="1" si="15"/>
        <v>141</v>
      </c>
      <c r="F181" s="1">
        <f t="shared" ca="1" si="18"/>
        <v>41</v>
      </c>
      <c r="G181" s="1">
        <f t="shared" ca="1" si="19"/>
        <v>0</v>
      </c>
      <c r="H181" s="15">
        <f t="shared" si="16"/>
        <v>5</v>
      </c>
      <c r="I181" s="1"/>
      <c r="J181" s="2"/>
    </row>
    <row r="182" spans="1:10" ht="16.2" thickBot="1" x14ac:dyDescent="0.35">
      <c r="A182" s="1">
        <v>181</v>
      </c>
      <c r="B182" s="2">
        <f ca="1">AVERAGE(OFFSET('n=1'!$B$1,(ROW()-2)*$P$2+1,0,$P$2,1))</f>
        <v>52.5</v>
      </c>
      <c r="C182" s="18">
        <f t="shared" ca="1" si="17"/>
        <v>99.5</v>
      </c>
      <c r="D182" s="1">
        <f t="shared" ca="1" si="14"/>
        <v>111.5</v>
      </c>
      <c r="E182" s="1">
        <f t="shared" ca="1" si="15"/>
        <v>140.5</v>
      </c>
      <c r="F182" s="1">
        <f t="shared" ca="1" si="18"/>
        <v>43</v>
      </c>
      <c r="G182" s="1">
        <f t="shared" ca="1" si="19"/>
        <v>0</v>
      </c>
      <c r="H182" s="15">
        <f t="shared" si="16"/>
        <v>5</v>
      </c>
      <c r="I182" s="1"/>
      <c r="J182" s="2"/>
    </row>
    <row r="183" spans="1:10" ht="16.2" thickBot="1" x14ac:dyDescent="0.35">
      <c r="A183" s="1">
        <v>182</v>
      </c>
      <c r="B183" s="2">
        <f ca="1">AVERAGE(OFFSET('n=1'!$B$1,(ROW()-2)*$P$2+1,0,$P$2,1))</f>
        <v>54</v>
      </c>
      <c r="C183" s="18">
        <f t="shared" ca="1" si="17"/>
        <v>103.5</v>
      </c>
      <c r="D183" s="1">
        <f t="shared" ca="1" si="14"/>
        <v>112</v>
      </c>
      <c r="E183" s="1">
        <f t="shared" ca="1" si="15"/>
        <v>140</v>
      </c>
      <c r="F183" s="1">
        <f t="shared" ca="1" si="18"/>
        <v>46.5</v>
      </c>
      <c r="G183" s="1">
        <f t="shared" ca="1" si="19"/>
        <v>0</v>
      </c>
      <c r="H183" s="15">
        <f t="shared" si="16"/>
        <v>5</v>
      </c>
      <c r="I183" s="1"/>
      <c r="J183" s="2"/>
    </row>
    <row r="184" spans="1:10" ht="16.2" thickBot="1" x14ac:dyDescent="0.35">
      <c r="A184" s="1">
        <v>183</v>
      </c>
      <c r="B184" s="2">
        <f ca="1">AVERAGE(OFFSET('n=1'!$B$1,(ROW()-2)*$P$2+1,0,$P$2,1))</f>
        <v>52.5</v>
      </c>
      <c r="C184" s="18">
        <f t="shared" ca="1" si="17"/>
        <v>106</v>
      </c>
      <c r="D184" s="1">
        <f t="shared" ca="1" si="14"/>
        <v>112.5</v>
      </c>
      <c r="E184" s="1">
        <f t="shared" ca="1" si="15"/>
        <v>139.5</v>
      </c>
      <c r="F184" s="1">
        <f t="shared" ca="1" si="18"/>
        <v>48.5</v>
      </c>
      <c r="G184" s="1">
        <f t="shared" ca="1" si="19"/>
        <v>0</v>
      </c>
      <c r="H184" s="15">
        <f t="shared" si="16"/>
        <v>5</v>
      </c>
      <c r="I184" s="1"/>
      <c r="J184" s="2"/>
    </row>
    <row r="185" spans="1:10" ht="16.2" thickBot="1" x14ac:dyDescent="0.35">
      <c r="A185" s="1">
        <v>184</v>
      </c>
      <c r="B185" s="2">
        <f ca="1">AVERAGE(OFFSET('n=1'!$B$1,(ROW()-2)*$P$2+1,0,$P$2,1))</f>
        <v>53.5</v>
      </c>
      <c r="C185" s="18">
        <f t="shared" ca="1" si="17"/>
        <v>109.5</v>
      </c>
      <c r="D185" s="1">
        <f t="shared" ca="1" si="14"/>
        <v>113</v>
      </c>
      <c r="E185" s="1">
        <f t="shared" ca="1" si="15"/>
        <v>139</v>
      </c>
      <c r="F185" s="1">
        <f t="shared" ca="1" si="18"/>
        <v>51.5</v>
      </c>
      <c r="G185" s="1">
        <f t="shared" ca="1" si="19"/>
        <v>0</v>
      </c>
      <c r="H185" s="15">
        <f t="shared" si="16"/>
        <v>5</v>
      </c>
      <c r="I185" s="1"/>
      <c r="J185" s="2"/>
    </row>
    <row r="186" spans="1:10" ht="16.2" thickBot="1" x14ac:dyDescent="0.35">
      <c r="A186" s="1">
        <v>185</v>
      </c>
      <c r="B186" s="2">
        <f ca="1">AVERAGE(OFFSET('n=1'!$B$1,(ROW()-2)*$P$2+1,0,$P$2,1))</f>
        <v>52.5</v>
      </c>
      <c r="C186" s="18">
        <f t="shared" ca="1" si="17"/>
        <v>112</v>
      </c>
      <c r="D186" s="1">
        <f t="shared" ca="1" si="14"/>
        <v>113.5</v>
      </c>
      <c r="E186" s="1">
        <f t="shared" ca="1" si="15"/>
        <v>138.5</v>
      </c>
      <c r="F186" s="1">
        <f t="shared" ca="1" si="18"/>
        <v>53.5</v>
      </c>
      <c r="G186" s="1">
        <f t="shared" ca="1" si="19"/>
        <v>0</v>
      </c>
      <c r="H186" s="15">
        <f t="shared" si="16"/>
        <v>5</v>
      </c>
      <c r="I186" s="1"/>
      <c r="J186" s="2"/>
    </row>
    <row r="187" spans="1:10" ht="16.2" thickBot="1" x14ac:dyDescent="0.35">
      <c r="A187" s="1">
        <v>186</v>
      </c>
      <c r="B187" s="2">
        <f ca="1">AVERAGE(OFFSET('n=1'!$B$1,(ROW()-2)*$P$2+1,0,$P$2,1))</f>
        <v>56</v>
      </c>
      <c r="C187" s="18">
        <f t="shared" ca="1" si="17"/>
        <v>118</v>
      </c>
      <c r="D187" s="1">
        <f t="shared" ca="1" si="14"/>
        <v>114</v>
      </c>
      <c r="E187" s="1">
        <f t="shared" ca="1" si="15"/>
        <v>138</v>
      </c>
      <c r="F187" s="1">
        <f t="shared" ca="1" si="18"/>
        <v>59</v>
      </c>
      <c r="G187" s="1">
        <f t="shared" ca="1" si="19"/>
        <v>0</v>
      </c>
      <c r="H187" s="15">
        <f t="shared" si="16"/>
        <v>5</v>
      </c>
      <c r="I187" s="1"/>
      <c r="J187" s="2"/>
    </row>
    <row r="188" spans="1:10" ht="16.2" thickBot="1" x14ac:dyDescent="0.35">
      <c r="A188" s="1">
        <v>187</v>
      </c>
      <c r="B188" s="2">
        <f ca="1">AVERAGE(OFFSET('n=1'!$B$1,(ROW()-2)*$P$2+1,0,$P$2,1))</f>
        <v>52.5</v>
      </c>
      <c r="C188" s="18">
        <f t="shared" ca="1" si="17"/>
        <v>120.5</v>
      </c>
      <c r="D188" s="1">
        <f t="shared" ca="1" si="14"/>
        <v>114.5</v>
      </c>
      <c r="E188" s="1">
        <f t="shared" ca="1" si="15"/>
        <v>137.5</v>
      </c>
      <c r="F188" s="1">
        <f t="shared" ca="1" si="18"/>
        <v>61</v>
      </c>
      <c r="G188" s="1">
        <f t="shared" ca="1" si="19"/>
        <v>0</v>
      </c>
      <c r="H188" s="15">
        <f t="shared" si="16"/>
        <v>5</v>
      </c>
      <c r="I188" s="1"/>
      <c r="J188" s="2"/>
    </row>
    <row r="189" spans="1:10" ht="16.2" thickBot="1" x14ac:dyDescent="0.35">
      <c r="A189" s="1">
        <v>188</v>
      </c>
      <c r="B189" s="2">
        <f ca="1">AVERAGE(OFFSET('n=1'!$B$1,(ROW()-2)*$P$2+1,0,$P$2,1))</f>
        <v>50.5</v>
      </c>
      <c r="C189" s="18">
        <f t="shared" ca="1" si="17"/>
        <v>121</v>
      </c>
      <c r="D189" s="1">
        <f t="shared" ca="1" si="14"/>
        <v>115</v>
      </c>
      <c r="E189" s="1">
        <f t="shared" ca="1" si="15"/>
        <v>137</v>
      </c>
      <c r="F189" s="1">
        <f t="shared" ca="1" si="18"/>
        <v>61</v>
      </c>
      <c r="G189" s="1">
        <f t="shared" ca="1" si="19"/>
        <v>0</v>
      </c>
      <c r="H189" s="15">
        <f t="shared" si="16"/>
        <v>5</v>
      </c>
      <c r="I189" s="1"/>
      <c r="J189" s="2"/>
    </row>
    <row r="190" spans="1:10" ht="16.2" thickBot="1" x14ac:dyDescent="0.35">
      <c r="A190" s="1">
        <v>189</v>
      </c>
      <c r="B190" s="2">
        <f ca="1">AVERAGE(OFFSET('n=1'!$B$1,(ROW()-2)*$P$2+1,0,$P$2,1))</f>
        <v>48.5</v>
      </c>
      <c r="C190" s="18">
        <f t="shared" ca="1" si="17"/>
        <v>119.5</v>
      </c>
      <c r="D190" s="1">
        <f t="shared" ca="1" si="14"/>
        <v>115.5</v>
      </c>
      <c r="E190" s="1">
        <f t="shared" ca="1" si="15"/>
        <v>136.5</v>
      </c>
      <c r="F190" s="1">
        <f t="shared" ca="1" si="18"/>
        <v>59</v>
      </c>
      <c r="G190" s="1">
        <f t="shared" ca="1" si="19"/>
        <v>1</v>
      </c>
      <c r="H190" s="15">
        <f t="shared" si="16"/>
        <v>5</v>
      </c>
      <c r="I190" s="1"/>
      <c r="J190" s="2"/>
    </row>
    <row r="191" spans="1:10" ht="16.2" thickBot="1" x14ac:dyDescent="0.35">
      <c r="A191" s="1">
        <v>190</v>
      </c>
      <c r="B191" s="2">
        <f ca="1">AVERAGE(OFFSET('n=1'!$B$1,(ROW()-2)*$P$2+1,0,$P$2,1))</f>
        <v>53</v>
      </c>
      <c r="C191" s="18">
        <f t="shared" ca="1" si="17"/>
        <v>122.5</v>
      </c>
      <c r="D191" s="1">
        <f t="shared" ca="1" si="14"/>
        <v>116</v>
      </c>
      <c r="E191" s="1">
        <f t="shared" ca="1" si="15"/>
        <v>136</v>
      </c>
      <c r="F191" s="1">
        <f t="shared" ca="1" si="18"/>
        <v>61.5</v>
      </c>
      <c r="G191" s="1">
        <f t="shared" ca="1" si="19"/>
        <v>0</v>
      </c>
      <c r="H191" s="15">
        <f t="shared" si="16"/>
        <v>5</v>
      </c>
      <c r="I191" s="1"/>
      <c r="J191" s="2"/>
    </row>
    <row r="192" spans="1:10" ht="16.2" thickBot="1" x14ac:dyDescent="0.35">
      <c r="A192" s="1">
        <v>191</v>
      </c>
      <c r="B192" s="2">
        <f ca="1">AVERAGE(OFFSET('n=1'!$B$1,(ROW()-2)*$P$2+1,0,$P$2,1))</f>
        <v>49.5</v>
      </c>
      <c r="C192" s="18">
        <f t="shared" ca="1" si="17"/>
        <v>122</v>
      </c>
      <c r="D192" s="1">
        <f t="shared" ca="1" si="14"/>
        <v>116.5</v>
      </c>
      <c r="E192" s="1">
        <f t="shared" ca="1" si="15"/>
        <v>135.5</v>
      </c>
      <c r="F192" s="1">
        <f t="shared" ca="1" si="18"/>
        <v>60.5</v>
      </c>
      <c r="G192" s="1">
        <f t="shared" ca="1" si="19"/>
        <v>0</v>
      </c>
      <c r="H192" s="15">
        <f t="shared" si="16"/>
        <v>5</v>
      </c>
      <c r="I192" s="1"/>
      <c r="J192" s="2"/>
    </row>
    <row r="193" spans="1:10" ht="16.2" thickBot="1" x14ac:dyDescent="0.35">
      <c r="A193" s="1">
        <v>192</v>
      </c>
      <c r="B193" s="2">
        <f ca="1">AVERAGE(OFFSET('n=1'!$B$1,(ROW()-2)*$P$2+1,0,$P$2,1))</f>
        <v>53.5</v>
      </c>
      <c r="C193" s="18">
        <f t="shared" ca="1" si="17"/>
        <v>125.5</v>
      </c>
      <c r="D193" s="1">
        <f t="shared" ca="1" si="14"/>
        <v>117</v>
      </c>
      <c r="E193" s="1">
        <f t="shared" ca="1" si="15"/>
        <v>135</v>
      </c>
      <c r="F193" s="1">
        <f t="shared" ca="1" si="18"/>
        <v>63.5</v>
      </c>
      <c r="G193" s="1">
        <f t="shared" ca="1" si="19"/>
        <v>0</v>
      </c>
      <c r="H193" s="15">
        <f t="shared" si="16"/>
        <v>5</v>
      </c>
      <c r="I193" s="1"/>
      <c r="J193" s="2"/>
    </row>
    <row r="194" spans="1:10" ht="16.2" thickBot="1" x14ac:dyDescent="0.35">
      <c r="A194" s="1">
        <v>193</v>
      </c>
      <c r="B194" s="2">
        <f ca="1">AVERAGE(OFFSET('n=1'!$B$1,(ROW()-2)*$P$2+1,0,$P$2,1))</f>
        <v>47.5</v>
      </c>
      <c r="C194" s="18">
        <f t="shared" ca="1" si="17"/>
        <v>123</v>
      </c>
      <c r="D194" s="1">
        <f t="shared" ref="D194:D199" ca="1" si="20">D195-$M$2</f>
        <v>117.5</v>
      </c>
      <c r="E194" s="1">
        <f t="shared" ref="E194:E199" ca="1" si="21">E195+$M$2</f>
        <v>134.5</v>
      </c>
      <c r="F194" s="1">
        <f t="shared" ca="1" si="18"/>
        <v>60.5</v>
      </c>
      <c r="G194" s="1">
        <f t="shared" ca="1" si="19"/>
        <v>2</v>
      </c>
      <c r="H194" s="15">
        <f t="shared" si="16"/>
        <v>5</v>
      </c>
      <c r="I194" s="1"/>
      <c r="J194" s="2"/>
    </row>
    <row r="195" spans="1:10" ht="16.2" thickBot="1" x14ac:dyDescent="0.35">
      <c r="A195" s="1">
        <v>194</v>
      </c>
      <c r="B195" s="2">
        <f ca="1">AVERAGE(OFFSET('n=1'!$B$1,(ROW()-2)*$P$2+1,0,$P$2,1))</f>
        <v>51</v>
      </c>
      <c r="C195" s="18">
        <f t="shared" ca="1" si="17"/>
        <v>124</v>
      </c>
      <c r="D195" s="1">
        <f t="shared" ca="1" si="20"/>
        <v>118</v>
      </c>
      <c r="E195" s="1">
        <f t="shared" ca="1" si="21"/>
        <v>134</v>
      </c>
      <c r="F195" s="1">
        <f t="shared" ca="1" si="18"/>
        <v>61</v>
      </c>
      <c r="G195" s="1">
        <f t="shared" ca="1" si="19"/>
        <v>0.5</v>
      </c>
      <c r="H195" s="15">
        <f t="shared" ref="H195:H201" si="22">$O$2</f>
        <v>5</v>
      </c>
      <c r="I195" s="1"/>
      <c r="J195" s="2"/>
    </row>
    <row r="196" spans="1:10" ht="16.2" thickBot="1" x14ac:dyDescent="0.35">
      <c r="A196" s="1">
        <v>195</v>
      </c>
      <c r="B196" s="2">
        <f ca="1">AVERAGE(OFFSET('n=1'!$B$1,(ROW()-2)*$P$2+1,0,$P$2,1))</f>
        <v>50.5</v>
      </c>
      <c r="C196" s="18">
        <f t="shared" ref="C196:C201" ca="1" si="23">B196-$L$2+C195</f>
        <v>124.5</v>
      </c>
      <c r="D196" s="1">
        <f t="shared" ca="1" si="20"/>
        <v>118.5</v>
      </c>
      <c r="E196" s="1">
        <f t="shared" ca="1" si="21"/>
        <v>133.5</v>
      </c>
      <c r="F196" s="1">
        <f t="shared" ca="1" si="18"/>
        <v>61</v>
      </c>
      <c r="G196" s="1">
        <f t="shared" ca="1" si="19"/>
        <v>0</v>
      </c>
      <c r="H196" s="15">
        <f t="shared" si="22"/>
        <v>5</v>
      </c>
      <c r="I196" s="1"/>
      <c r="J196" s="2"/>
    </row>
    <row r="197" spans="1:10" ht="16.2" thickBot="1" x14ac:dyDescent="0.35">
      <c r="A197" s="1">
        <v>196</v>
      </c>
      <c r="B197" s="2">
        <f ca="1">AVERAGE(OFFSET('n=1'!$B$1,(ROW()-2)*$P$2+1,0,$P$2,1))</f>
        <v>51</v>
      </c>
      <c r="C197" s="18">
        <f t="shared" ca="1" si="23"/>
        <v>125.5</v>
      </c>
      <c r="D197" s="1">
        <f t="shared" ca="1" si="20"/>
        <v>119</v>
      </c>
      <c r="E197" s="1">
        <f t="shared" ca="1" si="21"/>
        <v>133</v>
      </c>
      <c r="F197" s="1">
        <f t="shared" ca="1" si="18"/>
        <v>61.5</v>
      </c>
      <c r="G197" s="1">
        <f t="shared" ca="1" si="19"/>
        <v>0</v>
      </c>
      <c r="H197" s="15">
        <f t="shared" si="22"/>
        <v>5</v>
      </c>
      <c r="I197" s="1"/>
      <c r="J197" s="2"/>
    </row>
    <row r="198" spans="1:10" ht="16.2" thickBot="1" x14ac:dyDescent="0.35">
      <c r="A198" s="1">
        <v>197</v>
      </c>
      <c r="B198" s="2">
        <f ca="1">AVERAGE(OFFSET('n=1'!$B$1,(ROW()-2)*$P$2+1,0,$P$2,1))</f>
        <v>52.5</v>
      </c>
      <c r="C198" s="18">
        <f t="shared" ca="1" si="23"/>
        <v>128</v>
      </c>
      <c r="D198" s="1">
        <f t="shared" ca="1" si="20"/>
        <v>119.5</v>
      </c>
      <c r="E198" s="1">
        <f t="shared" ca="1" si="21"/>
        <v>132.5</v>
      </c>
      <c r="F198" s="1">
        <f t="shared" ca="1" si="18"/>
        <v>63.5</v>
      </c>
      <c r="G198" s="1">
        <f t="shared" ca="1" si="19"/>
        <v>0</v>
      </c>
      <c r="H198" s="15">
        <f t="shared" si="22"/>
        <v>5</v>
      </c>
      <c r="I198" s="1"/>
      <c r="J198" s="2"/>
    </row>
    <row r="199" spans="1:10" ht="16.2" thickBot="1" x14ac:dyDescent="0.35">
      <c r="A199" s="1">
        <v>198</v>
      </c>
      <c r="B199" s="2">
        <f ca="1">AVERAGE(OFFSET('n=1'!$B$1,(ROW()-2)*$P$2+1,0,$P$2,1))</f>
        <v>52</v>
      </c>
      <c r="C199" s="18">
        <f t="shared" ca="1" si="23"/>
        <v>130</v>
      </c>
      <c r="D199" s="1">
        <f t="shared" ca="1" si="20"/>
        <v>120</v>
      </c>
      <c r="E199" s="1">
        <f t="shared" ca="1" si="21"/>
        <v>132</v>
      </c>
      <c r="F199" s="1">
        <f t="shared" ca="1" si="18"/>
        <v>65</v>
      </c>
      <c r="G199" s="1">
        <f t="shared" ca="1" si="19"/>
        <v>0</v>
      </c>
      <c r="H199" s="15">
        <f t="shared" si="22"/>
        <v>5</v>
      </c>
      <c r="I199" s="1"/>
      <c r="J199" s="2"/>
    </row>
    <row r="200" spans="1:10" ht="16.2" thickBot="1" x14ac:dyDescent="0.35">
      <c r="A200" s="1">
        <v>199</v>
      </c>
      <c r="B200" s="2">
        <f ca="1">AVERAGE(OFFSET('n=1'!$B$1,(ROW()-2)*$P$2+1,0,$P$2,1))</f>
        <v>49</v>
      </c>
      <c r="C200" s="18">
        <f t="shared" ca="1" si="23"/>
        <v>129</v>
      </c>
      <c r="D200" s="1">
        <f ca="1">D201-$M$2</f>
        <v>120.5</v>
      </c>
      <c r="E200" s="1">
        <f ca="1">E201+$M$2</f>
        <v>131.5</v>
      </c>
      <c r="F200" s="1">
        <f t="shared" ca="1" si="18"/>
        <v>63.5</v>
      </c>
      <c r="G200" s="1">
        <f t="shared" ca="1" si="19"/>
        <v>0.5</v>
      </c>
      <c r="H200" s="15">
        <f t="shared" si="22"/>
        <v>5</v>
      </c>
      <c r="I200" s="1"/>
      <c r="J200" s="2"/>
    </row>
    <row r="201" spans="1:10" ht="16.2" thickBot="1" x14ac:dyDescent="0.35">
      <c r="A201" s="4">
        <v>200</v>
      </c>
      <c r="B201" s="5">
        <f ca="1">AVERAGE(OFFSET('n=1'!$B$1,(ROW()-2)*$P$2+1,0,$P$2,1))</f>
        <v>47</v>
      </c>
      <c r="C201" s="18">
        <f t="shared" ca="1" si="23"/>
        <v>126</v>
      </c>
      <c r="D201" s="4">
        <f ca="1">C201-$O$2</f>
        <v>121</v>
      </c>
      <c r="E201" s="4">
        <f ca="1">C201+$O$2</f>
        <v>131</v>
      </c>
      <c r="F201" s="1">
        <f t="shared" ca="1" si="18"/>
        <v>60</v>
      </c>
      <c r="G201" s="1">
        <f t="shared" ca="1" si="19"/>
        <v>3</v>
      </c>
      <c r="H201" s="15">
        <f t="shared" si="22"/>
        <v>5</v>
      </c>
      <c r="I201" s="4"/>
      <c r="J201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0EB7-29CE-9C45-B12F-B8FD57F1FAC1}">
  <dimension ref="A1:P101"/>
  <sheetViews>
    <sheetView zoomScale="78" workbookViewId="0">
      <selection activeCell="D100" sqref="D100:E101"/>
    </sheetView>
  </sheetViews>
  <sheetFormatPr baseColWidth="10" defaultRowHeight="15.6" x14ac:dyDescent="0.3"/>
  <sheetData>
    <row r="1" spans="1:16" ht="16.2" thickBot="1" x14ac:dyDescent="0.35">
      <c r="A1" s="11" t="s">
        <v>1</v>
      </c>
      <c r="B1" s="12" t="s">
        <v>2</v>
      </c>
      <c r="C1" s="17" t="s">
        <v>4</v>
      </c>
      <c r="D1" s="11" t="s">
        <v>16</v>
      </c>
      <c r="E1" s="12" t="s">
        <v>17</v>
      </c>
      <c r="F1" s="11" t="s">
        <v>5</v>
      </c>
      <c r="G1" s="12" t="s">
        <v>6</v>
      </c>
      <c r="H1" s="17" t="s">
        <v>18</v>
      </c>
      <c r="I1" s="11" t="s">
        <v>7</v>
      </c>
      <c r="J1" s="12" t="s">
        <v>8</v>
      </c>
      <c r="L1" s="17" t="s">
        <v>13</v>
      </c>
      <c r="M1" s="17" t="s">
        <v>10</v>
      </c>
      <c r="N1" s="17" t="s">
        <v>15</v>
      </c>
      <c r="O1" s="17" t="s">
        <v>14</v>
      </c>
      <c r="P1" s="17" t="s">
        <v>3</v>
      </c>
    </row>
    <row r="2" spans="1:16" ht="16.2" thickBot="1" x14ac:dyDescent="0.35">
      <c r="A2" s="1">
        <v>1</v>
      </c>
      <c r="B2" s="2">
        <f ca="1">AVERAGE(OFFSET('n=1'!$B$1,(ROW()-2)*$P$2+1,0,$P$2,1))</f>
        <v>51</v>
      </c>
      <c r="C2" s="15">
        <f ca="1">B2-L2</f>
        <v>1</v>
      </c>
      <c r="D2" s="1">
        <f t="shared" ref="D2:D65" ca="1" si="0">D3-$M$2</f>
        <v>8.8333333333333357</v>
      </c>
      <c r="E2" s="1">
        <f ca="1">E3+$M$2</f>
        <v>117.83333333333334</v>
      </c>
      <c r="F2" s="13">
        <f ca="1">MAX(0,B2-L2-M2)</f>
        <v>0.5</v>
      </c>
      <c r="G2" s="13">
        <f ca="1">MAX(0,B2-L2-M2)</f>
        <v>0.5</v>
      </c>
      <c r="H2" s="15">
        <f>$O$2</f>
        <v>5</v>
      </c>
      <c r="I2" s="13"/>
      <c r="J2" s="14"/>
      <c r="L2" s="17">
        <v>50</v>
      </c>
      <c r="M2" s="16">
        <f>1/2</f>
        <v>0.5</v>
      </c>
      <c r="N2" s="16">
        <v>1</v>
      </c>
      <c r="O2" s="16">
        <f>N2*5</f>
        <v>5</v>
      </c>
      <c r="P2" s="16">
        <v>4</v>
      </c>
    </row>
    <row r="3" spans="1:16" ht="16.2" thickBot="1" x14ac:dyDescent="0.35">
      <c r="A3" s="1">
        <v>2</v>
      </c>
      <c r="B3" s="2">
        <f ca="1">AVERAGE(OFFSET('n=1'!$B$1,(ROW()-2)*$P$2+1,0,$P$2,1))</f>
        <v>50.25</v>
      </c>
      <c r="C3" s="18">
        <f ca="1">B3-$L$2+C2</f>
        <v>1.25</v>
      </c>
      <c r="D3" s="1">
        <f ca="1">D4-$M$2</f>
        <v>9.3333333333333357</v>
      </c>
      <c r="E3" s="1">
        <f t="shared" ref="E2:E65" ca="1" si="1">E4+$M$2</f>
        <v>117.33333333333334</v>
      </c>
      <c r="F3" s="1">
        <f ca="1">MAX(0,B3-$L$2-$M$2+F2)</f>
        <v>0.25</v>
      </c>
      <c r="G3" s="1">
        <f ca="1">MAX(0,$L$2-B3-$M$2+G2)</f>
        <v>0</v>
      </c>
      <c r="H3" s="15">
        <f t="shared" ref="H3:H66" si="2">$O$2</f>
        <v>5</v>
      </c>
      <c r="I3" s="1"/>
      <c r="J3" s="2"/>
    </row>
    <row r="4" spans="1:16" ht="16.2" thickBot="1" x14ac:dyDescent="0.35">
      <c r="A4">
        <v>3</v>
      </c>
      <c r="B4" s="2">
        <f ca="1">AVERAGE(OFFSET('n=1'!$B$1,(ROW()-2)*$P$2+1,0,$P$2,1))</f>
        <v>50.25</v>
      </c>
      <c r="C4" s="18">
        <f t="shared" ref="C4:C67" ca="1" si="3">B4-$L$2+C3</f>
        <v>1.5</v>
      </c>
      <c r="D4" s="1">
        <f t="shared" ca="1" si="0"/>
        <v>9.8333333333333357</v>
      </c>
      <c r="E4" s="1">
        <f t="shared" ca="1" si="1"/>
        <v>116.83333333333334</v>
      </c>
      <c r="F4" s="1">
        <f t="shared" ref="F4:F67" ca="1" si="4">MAX(0,B4-$L$2-$M$2+F3)</f>
        <v>0</v>
      </c>
      <c r="G4" s="1">
        <f t="shared" ref="G4:G67" ca="1" si="5">MAX(0,$L$2-B4-$M$2+G3)</f>
        <v>0</v>
      </c>
      <c r="H4" s="15">
        <f t="shared" si="2"/>
        <v>5</v>
      </c>
    </row>
    <row r="5" spans="1:16" ht="16.2" thickBot="1" x14ac:dyDescent="0.35">
      <c r="A5">
        <v>4</v>
      </c>
      <c r="B5" s="2">
        <f ca="1">AVERAGE(OFFSET('n=1'!$B$1,(ROW()-2)*$P$2+1,0,$P$2,1))</f>
        <v>52.25</v>
      </c>
      <c r="C5" s="18">
        <f t="shared" ca="1" si="3"/>
        <v>3.75</v>
      </c>
      <c r="D5" s="1">
        <f t="shared" ca="1" si="0"/>
        <v>10.333333333333336</v>
      </c>
      <c r="E5" s="1">
        <f t="shared" ca="1" si="1"/>
        <v>116.33333333333334</v>
      </c>
      <c r="F5" s="1">
        <f t="shared" ca="1" si="4"/>
        <v>1.75</v>
      </c>
      <c r="G5" s="1">
        <f t="shared" ca="1" si="5"/>
        <v>0</v>
      </c>
      <c r="H5" s="15">
        <f t="shared" si="2"/>
        <v>5</v>
      </c>
    </row>
    <row r="6" spans="1:16" ht="16.2" thickBot="1" x14ac:dyDescent="0.35">
      <c r="A6">
        <v>5</v>
      </c>
      <c r="B6" s="2">
        <f ca="1">AVERAGE(OFFSET('n=1'!$B$1,(ROW()-2)*$P$2+1,0,$P$2,1))</f>
        <v>50.75</v>
      </c>
      <c r="C6" s="18">
        <f t="shared" ca="1" si="3"/>
        <v>4.5</v>
      </c>
      <c r="D6" s="1">
        <f ca="1">D7-$M$2</f>
        <v>10.833333333333336</v>
      </c>
      <c r="E6" s="1">
        <f t="shared" ca="1" si="1"/>
        <v>115.83333333333334</v>
      </c>
      <c r="F6" s="1">
        <f t="shared" ca="1" si="4"/>
        <v>2</v>
      </c>
      <c r="G6" s="1">
        <f t="shared" ca="1" si="5"/>
        <v>0</v>
      </c>
      <c r="H6" s="15">
        <f t="shared" si="2"/>
        <v>5</v>
      </c>
    </row>
    <row r="7" spans="1:16" ht="16.2" thickBot="1" x14ac:dyDescent="0.35">
      <c r="A7">
        <v>6</v>
      </c>
      <c r="B7" s="2">
        <f ca="1">AVERAGE(OFFSET('n=1'!$B$1,(ROW()-2)*$P$2+1,0,$P$2,1))</f>
        <v>51</v>
      </c>
      <c r="C7" s="18">
        <f t="shared" ca="1" si="3"/>
        <v>5.5</v>
      </c>
      <c r="D7" s="1">
        <f t="shared" ca="1" si="0"/>
        <v>11.333333333333336</v>
      </c>
      <c r="E7" s="1">
        <f t="shared" ca="1" si="1"/>
        <v>115.33333333333334</v>
      </c>
      <c r="F7" s="1">
        <f t="shared" ca="1" si="4"/>
        <v>2.5</v>
      </c>
      <c r="G7" s="1">
        <f t="shared" ca="1" si="5"/>
        <v>0</v>
      </c>
      <c r="H7" s="15">
        <f t="shared" si="2"/>
        <v>5</v>
      </c>
    </row>
    <row r="8" spans="1:16" ht="16.2" thickBot="1" x14ac:dyDescent="0.35">
      <c r="A8">
        <v>7</v>
      </c>
      <c r="B8" s="2">
        <f ca="1">AVERAGE(OFFSET('n=1'!$B$1,(ROW()-2)*$P$2+1,0,$P$2,1))</f>
        <v>48</v>
      </c>
      <c r="C8" s="18">
        <f t="shared" ca="1" si="3"/>
        <v>3.5</v>
      </c>
      <c r="D8" s="1">
        <f t="shared" ca="1" si="0"/>
        <v>11.833333333333336</v>
      </c>
      <c r="E8" s="1">
        <f t="shared" ca="1" si="1"/>
        <v>114.83333333333334</v>
      </c>
      <c r="F8" s="1">
        <f t="shared" ca="1" si="4"/>
        <v>0</v>
      </c>
      <c r="G8" s="1">
        <f t="shared" ca="1" si="5"/>
        <v>1.5</v>
      </c>
      <c r="H8" s="15">
        <f t="shared" si="2"/>
        <v>5</v>
      </c>
    </row>
    <row r="9" spans="1:16" ht="16.2" thickBot="1" x14ac:dyDescent="0.35">
      <c r="A9">
        <v>8</v>
      </c>
      <c r="B9" s="2">
        <f ca="1">AVERAGE(OFFSET('n=1'!$B$1,(ROW()-2)*$P$2+1,0,$P$2,1))</f>
        <v>49</v>
      </c>
      <c r="C9" s="18">
        <f t="shared" ca="1" si="3"/>
        <v>2.5</v>
      </c>
      <c r="D9" s="1">
        <f t="shared" ca="1" si="0"/>
        <v>12.333333333333336</v>
      </c>
      <c r="E9" s="1">
        <f t="shared" ca="1" si="1"/>
        <v>114.33333333333334</v>
      </c>
      <c r="F9" s="1">
        <f t="shared" ca="1" si="4"/>
        <v>0</v>
      </c>
      <c r="G9" s="1">
        <f t="shared" ca="1" si="5"/>
        <v>2</v>
      </c>
      <c r="H9" s="15">
        <f t="shared" si="2"/>
        <v>5</v>
      </c>
    </row>
    <row r="10" spans="1:16" ht="16.2" thickBot="1" x14ac:dyDescent="0.35">
      <c r="A10">
        <v>9</v>
      </c>
      <c r="B10" s="2">
        <f ca="1">AVERAGE(OFFSET('n=1'!$B$1,(ROW()-2)*$P$2+1,0,$P$2,1))</f>
        <v>49.5</v>
      </c>
      <c r="C10" s="18">
        <f t="shared" ca="1" si="3"/>
        <v>2</v>
      </c>
      <c r="D10" s="1">
        <f t="shared" ca="1" si="0"/>
        <v>12.833333333333336</v>
      </c>
      <c r="E10" s="1">
        <f t="shared" ca="1" si="1"/>
        <v>113.83333333333334</v>
      </c>
      <c r="F10" s="1">
        <f t="shared" ca="1" si="4"/>
        <v>0</v>
      </c>
      <c r="G10" s="1">
        <f t="shared" ca="1" si="5"/>
        <v>2</v>
      </c>
      <c r="H10" s="15">
        <f t="shared" si="2"/>
        <v>5</v>
      </c>
    </row>
    <row r="11" spans="1:16" ht="16.2" thickBot="1" x14ac:dyDescent="0.35">
      <c r="A11">
        <v>10</v>
      </c>
      <c r="B11" s="2">
        <f ca="1">AVERAGE(OFFSET('n=1'!$B$1,(ROW()-2)*$P$2+1,0,$P$2,1))</f>
        <v>49.75</v>
      </c>
      <c r="C11" s="18">
        <f t="shared" ca="1" si="3"/>
        <v>1.75</v>
      </c>
      <c r="D11" s="1">
        <f t="shared" ca="1" si="0"/>
        <v>13.333333333333336</v>
      </c>
      <c r="E11" s="1">
        <f t="shared" ca="1" si="1"/>
        <v>113.33333333333334</v>
      </c>
      <c r="F11" s="1">
        <f t="shared" ca="1" si="4"/>
        <v>0</v>
      </c>
      <c r="G11" s="1">
        <f t="shared" ca="1" si="5"/>
        <v>1.75</v>
      </c>
      <c r="H11" s="15">
        <f t="shared" si="2"/>
        <v>5</v>
      </c>
    </row>
    <row r="12" spans="1:16" ht="16.2" thickBot="1" x14ac:dyDescent="0.35">
      <c r="A12">
        <v>11</v>
      </c>
      <c r="B12" s="2">
        <f ca="1">AVERAGE(OFFSET('n=1'!$B$1,(ROW()-2)*$P$2+1,0,$P$2,1))</f>
        <v>49.25</v>
      </c>
      <c r="C12" s="18">
        <f t="shared" ca="1" si="3"/>
        <v>1</v>
      </c>
      <c r="D12" s="1">
        <f t="shared" ca="1" si="0"/>
        <v>13.833333333333336</v>
      </c>
      <c r="E12" s="1">
        <f t="shared" ca="1" si="1"/>
        <v>112.83333333333334</v>
      </c>
      <c r="F12" s="1">
        <f t="shared" ca="1" si="4"/>
        <v>0</v>
      </c>
      <c r="G12" s="1">
        <f t="shared" ca="1" si="5"/>
        <v>2</v>
      </c>
      <c r="H12" s="15">
        <f t="shared" si="2"/>
        <v>5</v>
      </c>
    </row>
    <row r="13" spans="1:16" ht="16.2" thickBot="1" x14ac:dyDescent="0.35">
      <c r="A13">
        <v>12</v>
      </c>
      <c r="B13" s="2">
        <f ca="1">AVERAGE(OFFSET('n=1'!$B$1,(ROW()-2)*$P$2+1,0,$P$2,1))</f>
        <v>49.5</v>
      </c>
      <c r="C13" s="18">
        <f t="shared" ca="1" si="3"/>
        <v>0.5</v>
      </c>
      <c r="D13" s="1">
        <f t="shared" ca="1" si="0"/>
        <v>14.333333333333336</v>
      </c>
      <c r="E13" s="1">
        <f t="shared" ca="1" si="1"/>
        <v>112.33333333333334</v>
      </c>
      <c r="F13" s="1">
        <f t="shared" ca="1" si="4"/>
        <v>0</v>
      </c>
      <c r="G13" s="1">
        <f t="shared" ca="1" si="5"/>
        <v>2</v>
      </c>
      <c r="H13" s="15">
        <f t="shared" si="2"/>
        <v>5</v>
      </c>
    </row>
    <row r="14" spans="1:16" ht="16.2" thickBot="1" x14ac:dyDescent="0.35">
      <c r="A14">
        <v>13</v>
      </c>
      <c r="B14" s="2">
        <f ca="1">AVERAGE(OFFSET('n=1'!$B$1,(ROW()-2)*$P$2+1,0,$P$2,1))</f>
        <v>52.5</v>
      </c>
      <c r="C14" s="18">
        <f t="shared" ca="1" si="3"/>
        <v>3</v>
      </c>
      <c r="D14" s="1">
        <f t="shared" ca="1" si="0"/>
        <v>14.833333333333336</v>
      </c>
      <c r="E14" s="1">
        <f t="shared" ca="1" si="1"/>
        <v>111.83333333333334</v>
      </c>
      <c r="F14" s="1">
        <f t="shared" ca="1" si="4"/>
        <v>2</v>
      </c>
      <c r="G14" s="1">
        <f t="shared" ca="1" si="5"/>
        <v>0</v>
      </c>
      <c r="H14" s="15">
        <f t="shared" si="2"/>
        <v>5</v>
      </c>
    </row>
    <row r="15" spans="1:16" ht="16.2" thickBot="1" x14ac:dyDescent="0.35">
      <c r="A15">
        <v>14</v>
      </c>
      <c r="B15" s="2">
        <f ca="1">AVERAGE(OFFSET('n=1'!$B$1,(ROW()-2)*$P$2+1,0,$P$2,1))</f>
        <v>51.25</v>
      </c>
      <c r="C15" s="18">
        <f t="shared" ca="1" si="3"/>
        <v>4.25</v>
      </c>
      <c r="D15" s="1">
        <f t="shared" ca="1" si="0"/>
        <v>15.333333333333336</v>
      </c>
      <c r="E15" s="1">
        <f t="shared" ca="1" si="1"/>
        <v>111.33333333333334</v>
      </c>
      <c r="F15" s="1">
        <f t="shared" ca="1" si="4"/>
        <v>2.75</v>
      </c>
      <c r="G15" s="1">
        <f t="shared" ca="1" si="5"/>
        <v>0</v>
      </c>
      <c r="H15" s="15">
        <f t="shared" si="2"/>
        <v>5</v>
      </c>
    </row>
    <row r="16" spans="1:16" ht="16.2" thickBot="1" x14ac:dyDescent="0.35">
      <c r="A16">
        <v>15</v>
      </c>
      <c r="B16" s="2">
        <f ca="1">AVERAGE(OFFSET('n=1'!$B$1,(ROW()-2)*$P$2+1,0,$P$2,1))</f>
        <v>50.75</v>
      </c>
      <c r="C16" s="18">
        <f t="shared" ca="1" si="3"/>
        <v>5</v>
      </c>
      <c r="D16" s="1">
        <f t="shared" ca="1" si="0"/>
        <v>15.833333333333336</v>
      </c>
      <c r="E16" s="1">
        <f t="shared" ca="1" si="1"/>
        <v>110.83333333333334</v>
      </c>
      <c r="F16" s="1">
        <f t="shared" ca="1" si="4"/>
        <v>3</v>
      </c>
      <c r="G16" s="1">
        <f t="shared" ca="1" si="5"/>
        <v>0</v>
      </c>
      <c r="H16" s="15">
        <f t="shared" si="2"/>
        <v>5</v>
      </c>
    </row>
    <row r="17" spans="1:8" ht="16.2" thickBot="1" x14ac:dyDescent="0.35">
      <c r="A17">
        <v>16</v>
      </c>
      <c r="B17" s="2">
        <f ca="1">AVERAGE(OFFSET('n=1'!$B$1,(ROW()-2)*$P$2+1,0,$P$2,1))</f>
        <v>50.75</v>
      </c>
      <c r="C17" s="18">
        <f t="shared" ca="1" si="3"/>
        <v>5.75</v>
      </c>
      <c r="D17" s="1">
        <f t="shared" ca="1" si="0"/>
        <v>16.333333333333336</v>
      </c>
      <c r="E17" s="1">
        <f t="shared" ca="1" si="1"/>
        <v>110.33333333333334</v>
      </c>
      <c r="F17" s="1">
        <f t="shared" ca="1" si="4"/>
        <v>3.25</v>
      </c>
      <c r="G17" s="1">
        <f t="shared" ca="1" si="5"/>
        <v>0</v>
      </c>
      <c r="H17" s="15">
        <f t="shared" si="2"/>
        <v>5</v>
      </c>
    </row>
    <row r="18" spans="1:8" ht="16.2" thickBot="1" x14ac:dyDescent="0.35">
      <c r="A18">
        <v>17</v>
      </c>
      <c r="B18" s="2">
        <f ca="1">AVERAGE(OFFSET('n=1'!$B$1,(ROW()-2)*$P$2+1,0,$P$2,1))</f>
        <v>48.75</v>
      </c>
      <c r="C18" s="18">
        <f t="shared" ca="1" si="3"/>
        <v>4.5</v>
      </c>
      <c r="D18" s="1">
        <f t="shared" ca="1" si="0"/>
        <v>16.833333333333336</v>
      </c>
      <c r="E18" s="1">
        <f t="shared" ca="1" si="1"/>
        <v>109.83333333333334</v>
      </c>
      <c r="F18" s="1">
        <f t="shared" ca="1" si="4"/>
        <v>1.5</v>
      </c>
      <c r="G18" s="1">
        <f t="shared" ca="1" si="5"/>
        <v>0.75</v>
      </c>
      <c r="H18" s="15">
        <f t="shared" si="2"/>
        <v>5</v>
      </c>
    </row>
    <row r="19" spans="1:8" ht="16.2" thickBot="1" x14ac:dyDescent="0.35">
      <c r="A19">
        <v>18</v>
      </c>
      <c r="B19" s="2">
        <f ca="1">AVERAGE(OFFSET('n=1'!$B$1,(ROW()-2)*$P$2+1,0,$P$2,1))</f>
        <v>49.5</v>
      </c>
      <c r="C19" s="18">
        <f t="shared" ca="1" si="3"/>
        <v>4</v>
      </c>
      <c r="D19" s="1">
        <f t="shared" ca="1" si="0"/>
        <v>17.333333333333336</v>
      </c>
      <c r="E19" s="1">
        <f t="shared" ca="1" si="1"/>
        <v>109.33333333333334</v>
      </c>
      <c r="F19" s="1">
        <f t="shared" ca="1" si="4"/>
        <v>0.5</v>
      </c>
      <c r="G19" s="1">
        <f t="shared" ca="1" si="5"/>
        <v>0.75</v>
      </c>
      <c r="H19" s="15">
        <f t="shared" si="2"/>
        <v>5</v>
      </c>
    </row>
    <row r="20" spans="1:8" ht="16.2" thickBot="1" x14ac:dyDescent="0.35">
      <c r="A20">
        <v>19</v>
      </c>
      <c r="B20" s="2">
        <f ca="1">AVERAGE(OFFSET('n=1'!$B$1,(ROW()-2)*$P$2+1,0,$P$2,1))</f>
        <v>48.25</v>
      </c>
      <c r="C20" s="18">
        <f t="shared" ca="1" si="3"/>
        <v>2.25</v>
      </c>
      <c r="D20" s="1">
        <f t="shared" ca="1" si="0"/>
        <v>17.833333333333336</v>
      </c>
      <c r="E20" s="1">
        <f t="shared" ca="1" si="1"/>
        <v>108.83333333333334</v>
      </c>
      <c r="F20" s="1">
        <f t="shared" ca="1" si="4"/>
        <v>0</v>
      </c>
      <c r="G20" s="1">
        <f t="shared" ca="1" si="5"/>
        <v>2</v>
      </c>
      <c r="H20" s="15">
        <f t="shared" si="2"/>
        <v>5</v>
      </c>
    </row>
    <row r="21" spans="1:8" ht="16.2" thickBot="1" x14ac:dyDescent="0.35">
      <c r="A21">
        <v>20</v>
      </c>
      <c r="B21" s="2">
        <f ca="1">AVERAGE(OFFSET('n=1'!$B$1,(ROW()-2)*$P$2+1,0,$P$2,1))</f>
        <v>51.75</v>
      </c>
      <c r="C21" s="18">
        <f t="shared" ca="1" si="3"/>
        <v>4</v>
      </c>
      <c r="D21" s="1">
        <f t="shared" ca="1" si="0"/>
        <v>18.333333333333336</v>
      </c>
      <c r="E21" s="1">
        <f t="shared" ca="1" si="1"/>
        <v>108.33333333333334</v>
      </c>
      <c r="F21" s="1">
        <f t="shared" ca="1" si="4"/>
        <v>1.25</v>
      </c>
      <c r="G21" s="1">
        <f t="shared" ca="1" si="5"/>
        <v>0</v>
      </c>
      <c r="H21" s="15">
        <f t="shared" si="2"/>
        <v>5</v>
      </c>
    </row>
    <row r="22" spans="1:8" ht="16.2" thickBot="1" x14ac:dyDescent="0.35">
      <c r="A22">
        <v>21</v>
      </c>
      <c r="B22" s="2">
        <f ca="1">AVERAGE(OFFSET('n=1'!$B$1,(ROW()-2)*$P$2+1,0,$P$2,1))</f>
        <v>49</v>
      </c>
      <c r="C22" s="18">
        <f t="shared" ca="1" si="3"/>
        <v>3</v>
      </c>
      <c r="D22" s="1">
        <f t="shared" ca="1" si="0"/>
        <v>18.833333333333336</v>
      </c>
      <c r="E22" s="1">
        <f t="shared" ca="1" si="1"/>
        <v>107.83333333333334</v>
      </c>
      <c r="F22" s="1">
        <f t="shared" ca="1" si="4"/>
        <v>0</v>
      </c>
      <c r="G22" s="1">
        <f t="shared" ca="1" si="5"/>
        <v>0.5</v>
      </c>
      <c r="H22" s="15">
        <f t="shared" si="2"/>
        <v>5</v>
      </c>
    </row>
    <row r="23" spans="1:8" ht="16.2" thickBot="1" x14ac:dyDescent="0.35">
      <c r="A23">
        <v>22</v>
      </c>
      <c r="B23" s="2">
        <f ca="1">AVERAGE(OFFSET('n=1'!$B$1,(ROW()-2)*$P$2+1,0,$P$2,1))</f>
        <v>49.5</v>
      </c>
      <c r="C23" s="18">
        <f t="shared" ca="1" si="3"/>
        <v>2.5</v>
      </c>
      <c r="D23" s="1">
        <f t="shared" ca="1" si="0"/>
        <v>19.333333333333336</v>
      </c>
      <c r="E23" s="1">
        <f t="shared" ca="1" si="1"/>
        <v>107.33333333333334</v>
      </c>
      <c r="F23" s="1">
        <f t="shared" ca="1" si="4"/>
        <v>0</v>
      </c>
      <c r="G23" s="1">
        <f t="shared" ca="1" si="5"/>
        <v>0.5</v>
      </c>
      <c r="H23" s="15">
        <f t="shared" si="2"/>
        <v>5</v>
      </c>
    </row>
    <row r="24" spans="1:8" ht="16.2" thickBot="1" x14ac:dyDescent="0.35">
      <c r="A24">
        <v>23</v>
      </c>
      <c r="B24" s="2">
        <f ca="1">AVERAGE(OFFSET('n=1'!$B$1,(ROW()-2)*$P$2+1,0,$P$2,1))</f>
        <v>52.25</v>
      </c>
      <c r="C24" s="18">
        <f t="shared" ca="1" si="3"/>
        <v>4.75</v>
      </c>
      <c r="D24" s="1">
        <f t="shared" ca="1" si="0"/>
        <v>19.833333333333336</v>
      </c>
      <c r="E24" s="1">
        <f t="shared" ca="1" si="1"/>
        <v>106.83333333333334</v>
      </c>
      <c r="F24" s="1">
        <f t="shared" ca="1" si="4"/>
        <v>1.75</v>
      </c>
      <c r="G24" s="1">
        <f t="shared" ca="1" si="5"/>
        <v>0</v>
      </c>
      <c r="H24" s="15">
        <f t="shared" si="2"/>
        <v>5</v>
      </c>
    </row>
    <row r="25" spans="1:8" ht="16.2" thickBot="1" x14ac:dyDescent="0.35">
      <c r="A25">
        <v>24</v>
      </c>
      <c r="B25" s="2">
        <f ca="1">AVERAGE(OFFSET('n=1'!$B$1,(ROW()-2)*$P$2+1,0,$P$2,1))</f>
        <v>50.25</v>
      </c>
      <c r="C25" s="18">
        <f t="shared" ca="1" si="3"/>
        <v>5</v>
      </c>
      <c r="D25" s="1">
        <f t="shared" ca="1" si="0"/>
        <v>20.333333333333336</v>
      </c>
      <c r="E25" s="1">
        <f t="shared" ca="1" si="1"/>
        <v>106.33333333333334</v>
      </c>
      <c r="F25" s="1">
        <f t="shared" ca="1" si="4"/>
        <v>1.5</v>
      </c>
      <c r="G25" s="1">
        <f t="shared" ca="1" si="5"/>
        <v>0</v>
      </c>
      <c r="H25" s="15">
        <f t="shared" si="2"/>
        <v>5</v>
      </c>
    </row>
    <row r="26" spans="1:8" ht="16.2" thickBot="1" x14ac:dyDescent="0.35">
      <c r="A26">
        <v>25</v>
      </c>
      <c r="B26" s="2">
        <f ca="1">AVERAGE(OFFSET('n=1'!$B$1,(ROW()-2)*$P$2+1,0,$P$2,1))</f>
        <v>50.75</v>
      </c>
      <c r="C26" s="18">
        <f t="shared" ca="1" si="3"/>
        <v>5.75</v>
      </c>
      <c r="D26" s="1">
        <f t="shared" ca="1" si="0"/>
        <v>20.833333333333336</v>
      </c>
      <c r="E26" s="1">
        <f t="shared" ca="1" si="1"/>
        <v>105.83333333333334</v>
      </c>
      <c r="F26" s="1">
        <f t="shared" ca="1" si="4"/>
        <v>1.75</v>
      </c>
      <c r="G26" s="1">
        <f t="shared" ca="1" si="5"/>
        <v>0</v>
      </c>
      <c r="H26" s="15">
        <f t="shared" si="2"/>
        <v>5</v>
      </c>
    </row>
    <row r="27" spans="1:8" ht="16.2" thickBot="1" x14ac:dyDescent="0.35">
      <c r="A27">
        <v>26</v>
      </c>
      <c r="B27" s="2">
        <f ca="1">AVERAGE(OFFSET('n=1'!$B$1,(ROW()-2)*$P$2+1,0,$P$2,1))</f>
        <v>49.75</v>
      </c>
      <c r="C27" s="18">
        <f t="shared" ca="1" si="3"/>
        <v>5.5</v>
      </c>
      <c r="D27" s="1">
        <f t="shared" ca="1" si="0"/>
        <v>21.333333333333336</v>
      </c>
      <c r="E27" s="1">
        <f t="shared" ca="1" si="1"/>
        <v>105.33333333333334</v>
      </c>
      <c r="F27" s="1">
        <f t="shared" ca="1" si="4"/>
        <v>1</v>
      </c>
      <c r="G27" s="1">
        <f t="shared" ca="1" si="5"/>
        <v>0</v>
      </c>
      <c r="H27" s="15">
        <f t="shared" si="2"/>
        <v>5</v>
      </c>
    </row>
    <row r="28" spans="1:8" ht="16.2" thickBot="1" x14ac:dyDescent="0.35">
      <c r="A28">
        <v>27</v>
      </c>
      <c r="B28" s="2">
        <f ca="1">AVERAGE(OFFSET('n=1'!$B$1,(ROW()-2)*$P$2+1,0,$P$2,1))</f>
        <v>49</v>
      </c>
      <c r="C28" s="18">
        <f t="shared" ca="1" si="3"/>
        <v>4.5</v>
      </c>
      <c r="D28" s="1">
        <f t="shared" ca="1" si="0"/>
        <v>21.833333333333336</v>
      </c>
      <c r="E28" s="1">
        <f t="shared" ca="1" si="1"/>
        <v>104.83333333333334</v>
      </c>
      <c r="F28" s="1">
        <f t="shared" ca="1" si="4"/>
        <v>0</v>
      </c>
      <c r="G28" s="1">
        <f t="shared" ca="1" si="5"/>
        <v>0.5</v>
      </c>
      <c r="H28" s="15">
        <f t="shared" si="2"/>
        <v>5</v>
      </c>
    </row>
    <row r="29" spans="1:8" ht="16.2" thickBot="1" x14ac:dyDescent="0.35">
      <c r="A29">
        <v>28</v>
      </c>
      <c r="B29" s="2">
        <f ca="1">AVERAGE(OFFSET('n=1'!$B$1,(ROW()-2)*$P$2+1,0,$P$2,1))</f>
        <v>49.25</v>
      </c>
      <c r="C29" s="18">
        <f t="shared" ca="1" si="3"/>
        <v>3.75</v>
      </c>
      <c r="D29" s="1">
        <f t="shared" ca="1" si="0"/>
        <v>22.333333333333336</v>
      </c>
      <c r="E29" s="1">
        <f t="shared" ca="1" si="1"/>
        <v>104.33333333333334</v>
      </c>
      <c r="F29" s="1">
        <f t="shared" ca="1" si="4"/>
        <v>0</v>
      </c>
      <c r="G29" s="1">
        <f t="shared" ca="1" si="5"/>
        <v>0.75</v>
      </c>
      <c r="H29" s="15">
        <f t="shared" si="2"/>
        <v>5</v>
      </c>
    </row>
    <row r="30" spans="1:8" ht="16.2" thickBot="1" x14ac:dyDescent="0.35">
      <c r="A30">
        <v>29</v>
      </c>
      <c r="B30" s="2">
        <f ca="1">AVERAGE(OFFSET('n=1'!$B$1,(ROW()-2)*$P$2+1,0,$P$2,1))</f>
        <v>49.5</v>
      </c>
      <c r="C30" s="18">
        <f t="shared" ca="1" si="3"/>
        <v>3.25</v>
      </c>
      <c r="D30" s="1">
        <f t="shared" ca="1" si="0"/>
        <v>22.833333333333336</v>
      </c>
      <c r="E30" s="1">
        <f t="shared" ca="1" si="1"/>
        <v>103.83333333333334</v>
      </c>
      <c r="F30" s="1">
        <f t="shared" ca="1" si="4"/>
        <v>0</v>
      </c>
      <c r="G30" s="1">
        <f t="shared" ca="1" si="5"/>
        <v>0.75</v>
      </c>
      <c r="H30" s="15">
        <f t="shared" si="2"/>
        <v>5</v>
      </c>
    </row>
    <row r="31" spans="1:8" ht="16.2" thickBot="1" x14ac:dyDescent="0.35">
      <c r="A31">
        <v>30</v>
      </c>
      <c r="B31" s="2">
        <f ca="1">AVERAGE(OFFSET('n=1'!$B$1,(ROW()-2)*$P$2+1,0,$P$2,1))</f>
        <v>52.5</v>
      </c>
      <c r="C31" s="18">
        <f t="shared" ca="1" si="3"/>
        <v>5.75</v>
      </c>
      <c r="D31" s="1">
        <f t="shared" ca="1" si="0"/>
        <v>23.333333333333336</v>
      </c>
      <c r="E31" s="1">
        <f t="shared" ca="1" si="1"/>
        <v>103.33333333333334</v>
      </c>
      <c r="F31" s="1">
        <f t="shared" ca="1" si="4"/>
        <v>2</v>
      </c>
      <c r="G31" s="1">
        <f t="shared" ca="1" si="5"/>
        <v>0</v>
      </c>
      <c r="H31" s="15">
        <f t="shared" si="2"/>
        <v>5</v>
      </c>
    </row>
    <row r="32" spans="1:8" ht="16.2" thickBot="1" x14ac:dyDescent="0.35">
      <c r="A32">
        <v>31</v>
      </c>
      <c r="B32" s="2">
        <f ca="1">AVERAGE(OFFSET('n=1'!$B$1,(ROW()-2)*$P$2+1,0,$P$2,1))</f>
        <v>50</v>
      </c>
      <c r="C32" s="18">
        <f t="shared" ca="1" si="3"/>
        <v>5.75</v>
      </c>
      <c r="D32" s="1">
        <f t="shared" ca="1" si="0"/>
        <v>23.833333333333336</v>
      </c>
      <c r="E32" s="1">
        <f t="shared" ca="1" si="1"/>
        <v>102.83333333333334</v>
      </c>
      <c r="F32" s="1">
        <f t="shared" ca="1" si="4"/>
        <v>1.5</v>
      </c>
      <c r="G32" s="1">
        <f t="shared" ca="1" si="5"/>
        <v>0</v>
      </c>
      <c r="H32" s="15">
        <f t="shared" si="2"/>
        <v>5</v>
      </c>
    </row>
    <row r="33" spans="1:8" ht="16.2" thickBot="1" x14ac:dyDescent="0.35">
      <c r="A33">
        <v>32</v>
      </c>
      <c r="B33" s="2">
        <f ca="1">AVERAGE(OFFSET('n=1'!$B$1,(ROW()-2)*$P$2+1,0,$P$2,1))</f>
        <v>52.25</v>
      </c>
      <c r="C33" s="18">
        <f t="shared" ca="1" si="3"/>
        <v>8</v>
      </c>
      <c r="D33" s="1">
        <f t="shared" ca="1" si="0"/>
        <v>24.333333333333336</v>
      </c>
      <c r="E33" s="1">
        <f t="shared" ca="1" si="1"/>
        <v>102.33333333333334</v>
      </c>
      <c r="F33" s="1">
        <f t="shared" ca="1" si="4"/>
        <v>3.25</v>
      </c>
      <c r="G33" s="1">
        <f t="shared" ca="1" si="5"/>
        <v>0</v>
      </c>
      <c r="H33" s="15">
        <f t="shared" si="2"/>
        <v>5</v>
      </c>
    </row>
    <row r="34" spans="1:8" ht="16.2" thickBot="1" x14ac:dyDescent="0.35">
      <c r="A34">
        <v>33</v>
      </c>
      <c r="B34" s="2">
        <f ca="1">AVERAGE(OFFSET('n=1'!$B$1,(ROW()-2)*$P$2+1,0,$P$2,1))</f>
        <v>49.75</v>
      </c>
      <c r="C34" s="18">
        <f t="shared" ca="1" si="3"/>
        <v>7.75</v>
      </c>
      <c r="D34" s="1">
        <f t="shared" ca="1" si="0"/>
        <v>24.833333333333336</v>
      </c>
      <c r="E34" s="1">
        <f t="shared" ca="1" si="1"/>
        <v>101.83333333333334</v>
      </c>
      <c r="F34" s="1">
        <f t="shared" ca="1" si="4"/>
        <v>2.5</v>
      </c>
      <c r="G34" s="1">
        <f t="shared" ca="1" si="5"/>
        <v>0</v>
      </c>
      <c r="H34" s="15">
        <f t="shared" si="2"/>
        <v>5</v>
      </c>
    </row>
    <row r="35" spans="1:8" ht="16.2" thickBot="1" x14ac:dyDescent="0.35">
      <c r="A35">
        <v>34</v>
      </c>
      <c r="B35" s="2">
        <f ca="1">AVERAGE(OFFSET('n=1'!$B$1,(ROW()-2)*$P$2+1,0,$P$2,1))</f>
        <v>48.5</v>
      </c>
      <c r="C35" s="18">
        <f t="shared" ca="1" si="3"/>
        <v>6.25</v>
      </c>
      <c r="D35" s="1">
        <f t="shared" ca="1" si="0"/>
        <v>25.333333333333336</v>
      </c>
      <c r="E35" s="1">
        <f t="shared" ca="1" si="1"/>
        <v>101.33333333333334</v>
      </c>
      <c r="F35" s="1">
        <f t="shared" ca="1" si="4"/>
        <v>0.5</v>
      </c>
      <c r="G35" s="1">
        <f t="shared" ca="1" si="5"/>
        <v>1</v>
      </c>
      <c r="H35" s="15">
        <f t="shared" si="2"/>
        <v>5</v>
      </c>
    </row>
    <row r="36" spans="1:8" ht="16.2" thickBot="1" x14ac:dyDescent="0.35">
      <c r="A36">
        <v>35</v>
      </c>
      <c r="B36" s="2">
        <f ca="1">AVERAGE(OFFSET('n=1'!$B$1,(ROW()-2)*$P$2+1,0,$P$2,1))</f>
        <v>48.5</v>
      </c>
      <c r="C36" s="18">
        <f t="shared" ca="1" si="3"/>
        <v>4.75</v>
      </c>
      <c r="D36" s="1">
        <f t="shared" ca="1" si="0"/>
        <v>25.833333333333336</v>
      </c>
      <c r="E36" s="1">
        <f t="shared" ca="1" si="1"/>
        <v>100.83333333333334</v>
      </c>
      <c r="F36" s="1">
        <f t="shared" ca="1" si="4"/>
        <v>0</v>
      </c>
      <c r="G36" s="1">
        <f t="shared" ca="1" si="5"/>
        <v>2</v>
      </c>
      <c r="H36" s="15">
        <f t="shared" si="2"/>
        <v>5</v>
      </c>
    </row>
    <row r="37" spans="1:8" ht="16.2" thickBot="1" x14ac:dyDescent="0.35">
      <c r="A37">
        <v>36</v>
      </c>
      <c r="B37" s="2">
        <f ca="1">AVERAGE(OFFSET('n=1'!$B$1,(ROW()-2)*$P$2+1,0,$P$2,1))</f>
        <v>52</v>
      </c>
      <c r="C37" s="18">
        <f t="shared" ca="1" si="3"/>
        <v>6.75</v>
      </c>
      <c r="D37" s="1">
        <f t="shared" ca="1" si="0"/>
        <v>26.333333333333336</v>
      </c>
      <c r="E37" s="1">
        <f t="shared" ca="1" si="1"/>
        <v>100.33333333333334</v>
      </c>
      <c r="F37" s="1">
        <f t="shared" ca="1" si="4"/>
        <v>1.5</v>
      </c>
      <c r="G37" s="1">
        <f t="shared" ca="1" si="5"/>
        <v>0</v>
      </c>
      <c r="H37" s="15">
        <f t="shared" si="2"/>
        <v>5</v>
      </c>
    </row>
    <row r="38" spans="1:8" ht="16.2" thickBot="1" x14ac:dyDescent="0.35">
      <c r="A38">
        <v>37</v>
      </c>
      <c r="B38" s="2">
        <f ca="1">AVERAGE(OFFSET('n=1'!$B$1,(ROW()-2)*$P$2+1,0,$P$2,1))</f>
        <v>50.75</v>
      </c>
      <c r="C38" s="18">
        <f t="shared" ca="1" si="3"/>
        <v>7.5</v>
      </c>
      <c r="D38" s="1">
        <f t="shared" ca="1" si="0"/>
        <v>26.833333333333336</v>
      </c>
      <c r="E38" s="1">
        <f t="shared" ca="1" si="1"/>
        <v>99.833333333333343</v>
      </c>
      <c r="F38" s="1">
        <f t="shared" ca="1" si="4"/>
        <v>1.75</v>
      </c>
      <c r="G38" s="1">
        <f t="shared" ca="1" si="5"/>
        <v>0</v>
      </c>
      <c r="H38" s="15">
        <f t="shared" si="2"/>
        <v>5</v>
      </c>
    </row>
    <row r="39" spans="1:8" ht="16.2" thickBot="1" x14ac:dyDescent="0.35">
      <c r="A39">
        <v>38</v>
      </c>
      <c r="B39" s="2">
        <f ca="1">AVERAGE(OFFSET('n=1'!$B$1,(ROW()-2)*$P$2+1,0,$P$2,1))</f>
        <v>48</v>
      </c>
      <c r="C39" s="18">
        <f t="shared" ca="1" si="3"/>
        <v>5.5</v>
      </c>
      <c r="D39" s="1">
        <f t="shared" ca="1" si="0"/>
        <v>27.333333333333336</v>
      </c>
      <c r="E39" s="1">
        <f t="shared" ca="1" si="1"/>
        <v>99.333333333333343</v>
      </c>
      <c r="F39" s="1">
        <f t="shared" ca="1" si="4"/>
        <v>0</v>
      </c>
      <c r="G39" s="1">
        <f t="shared" ca="1" si="5"/>
        <v>1.5</v>
      </c>
      <c r="H39" s="15">
        <f t="shared" si="2"/>
        <v>5</v>
      </c>
    </row>
    <row r="40" spans="1:8" ht="16.2" thickBot="1" x14ac:dyDescent="0.35">
      <c r="A40">
        <v>39</v>
      </c>
      <c r="B40" s="2">
        <f ca="1">AVERAGE(OFFSET('n=1'!$B$1,(ROW()-2)*$P$2+1,0,$P$2,1))</f>
        <v>49.5</v>
      </c>
      <c r="C40" s="18">
        <f t="shared" ca="1" si="3"/>
        <v>5</v>
      </c>
      <c r="D40" s="1">
        <f t="shared" ca="1" si="0"/>
        <v>27.833333333333336</v>
      </c>
      <c r="E40" s="1">
        <f t="shared" ca="1" si="1"/>
        <v>98.833333333333343</v>
      </c>
      <c r="F40" s="1">
        <f t="shared" ca="1" si="4"/>
        <v>0</v>
      </c>
      <c r="G40" s="1">
        <f t="shared" ca="1" si="5"/>
        <v>1.5</v>
      </c>
      <c r="H40" s="15">
        <f t="shared" si="2"/>
        <v>5</v>
      </c>
    </row>
    <row r="41" spans="1:8" ht="16.2" thickBot="1" x14ac:dyDescent="0.35">
      <c r="A41">
        <v>40</v>
      </c>
      <c r="B41" s="2">
        <f ca="1">AVERAGE(OFFSET('n=1'!$B$1,(ROW()-2)*$P$2+1,0,$P$2,1))</f>
        <v>48.5</v>
      </c>
      <c r="C41" s="18">
        <f t="shared" ca="1" si="3"/>
        <v>3.5</v>
      </c>
      <c r="D41" s="1">
        <f t="shared" ca="1" si="0"/>
        <v>28.333333333333336</v>
      </c>
      <c r="E41" s="1">
        <f t="shared" ca="1" si="1"/>
        <v>98.333333333333343</v>
      </c>
      <c r="F41" s="1">
        <f t="shared" ca="1" si="4"/>
        <v>0</v>
      </c>
      <c r="G41" s="1">
        <f t="shared" ca="1" si="5"/>
        <v>2.5</v>
      </c>
      <c r="H41" s="15">
        <f t="shared" si="2"/>
        <v>5</v>
      </c>
    </row>
    <row r="42" spans="1:8" ht="16.2" thickBot="1" x14ac:dyDescent="0.35">
      <c r="A42">
        <v>41</v>
      </c>
      <c r="B42" s="2">
        <f ca="1">AVERAGE(OFFSET('n=1'!$B$1,(ROW()-2)*$P$2+1,0,$P$2,1))</f>
        <v>50</v>
      </c>
      <c r="C42" s="18">
        <f t="shared" ca="1" si="3"/>
        <v>3.5</v>
      </c>
      <c r="D42" s="1">
        <f t="shared" ca="1" si="0"/>
        <v>28.833333333333336</v>
      </c>
      <c r="E42" s="1">
        <f t="shared" ca="1" si="1"/>
        <v>97.833333333333343</v>
      </c>
      <c r="F42" s="1">
        <f t="shared" ca="1" si="4"/>
        <v>0</v>
      </c>
      <c r="G42" s="1">
        <f t="shared" ca="1" si="5"/>
        <v>2</v>
      </c>
      <c r="H42" s="15">
        <f t="shared" si="2"/>
        <v>5</v>
      </c>
    </row>
    <row r="43" spans="1:8" ht="16.2" thickBot="1" x14ac:dyDescent="0.35">
      <c r="A43">
        <v>42</v>
      </c>
      <c r="B43" s="2">
        <f ca="1">AVERAGE(OFFSET('n=1'!$B$1,(ROW()-2)*$P$2+1,0,$P$2,1))</f>
        <v>53.5</v>
      </c>
      <c r="C43" s="18">
        <f t="shared" ca="1" si="3"/>
        <v>7</v>
      </c>
      <c r="D43" s="1">
        <f t="shared" ca="1" si="0"/>
        <v>29.333333333333336</v>
      </c>
      <c r="E43" s="1">
        <f t="shared" ca="1" si="1"/>
        <v>97.333333333333343</v>
      </c>
      <c r="F43" s="1">
        <f t="shared" ca="1" si="4"/>
        <v>3</v>
      </c>
      <c r="G43" s="1">
        <f t="shared" ca="1" si="5"/>
        <v>0</v>
      </c>
      <c r="H43" s="15">
        <f t="shared" si="2"/>
        <v>5</v>
      </c>
    </row>
    <row r="44" spans="1:8" ht="16.2" thickBot="1" x14ac:dyDescent="0.35">
      <c r="A44">
        <v>43</v>
      </c>
      <c r="B44" s="2">
        <f ca="1">AVERAGE(OFFSET('n=1'!$B$1,(ROW()-2)*$P$2+1,0,$P$2,1))</f>
        <v>49</v>
      </c>
      <c r="C44" s="18">
        <f t="shared" ca="1" si="3"/>
        <v>6</v>
      </c>
      <c r="D44" s="1">
        <f t="shared" ca="1" si="0"/>
        <v>29.833333333333336</v>
      </c>
      <c r="E44" s="1">
        <f t="shared" ca="1" si="1"/>
        <v>96.833333333333343</v>
      </c>
      <c r="F44" s="1">
        <f t="shared" ca="1" si="4"/>
        <v>1.5</v>
      </c>
      <c r="G44" s="1">
        <f t="shared" ca="1" si="5"/>
        <v>0.5</v>
      </c>
      <c r="H44" s="15">
        <f t="shared" si="2"/>
        <v>5</v>
      </c>
    </row>
    <row r="45" spans="1:8" ht="16.2" thickBot="1" x14ac:dyDescent="0.35">
      <c r="A45">
        <v>44</v>
      </c>
      <c r="B45" s="2">
        <f ca="1">AVERAGE(OFFSET('n=1'!$B$1,(ROW()-2)*$P$2+1,0,$P$2,1))</f>
        <v>52.75</v>
      </c>
      <c r="C45" s="18">
        <f t="shared" ca="1" si="3"/>
        <v>8.75</v>
      </c>
      <c r="D45" s="1">
        <f t="shared" ca="1" si="0"/>
        <v>30.333333333333336</v>
      </c>
      <c r="E45" s="1">
        <f t="shared" ca="1" si="1"/>
        <v>96.333333333333343</v>
      </c>
      <c r="F45" s="1">
        <f t="shared" ca="1" si="4"/>
        <v>3.75</v>
      </c>
      <c r="G45" s="1">
        <f t="shared" ca="1" si="5"/>
        <v>0</v>
      </c>
      <c r="H45" s="15">
        <f t="shared" si="2"/>
        <v>5</v>
      </c>
    </row>
    <row r="46" spans="1:8" ht="16.2" thickBot="1" x14ac:dyDescent="0.35">
      <c r="A46">
        <v>45</v>
      </c>
      <c r="B46" s="2">
        <f ca="1">AVERAGE(OFFSET('n=1'!$B$1,(ROW()-2)*$P$2+1,0,$P$2,1))</f>
        <v>51.25</v>
      </c>
      <c r="C46" s="18">
        <f t="shared" ca="1" si="3"/>
        <v>10</v>
      </c>
      <c r="D46" s="1">
        <f t="shared" ca="1" si="0"/>
        <v>30.833333333333336</v>
      </c>
      <c r="E46" s="1">
        <f t="shared" ca="1" si="1"/>
        <v>95.833333333333343</v>
      </c>
      <c r="F46" s="1">
        <f t="shared" ca="1" si="4"/>
        <v>4.5</v>
      </c>
      <c r="G46" s="1">
        <f t="shared" ca="1" si="5"/>
        <v>0</v>
      </c>
      <c r="H46" s="15">
        <f t="shared" si="2"/>
        <v>5</v>
      </c>
    </row>
    <row r="47" spans="1:8" ht="16.2" thickBot="1" x14ac:dyDescent="0.35">
      <c r="A47">
        <v>46</v>
      </c>
      <c r="B47" s="2">
        <f ca="1">AVERAGE(OFFSET('n=1'!$B$1,(ROW()-2)*$P$2+1,0,$P$2,1))</f>
        <v>46.75</v>
      </c>
      <c r="C47" s="18">
        <f t="shared" ca="1" si="3"/>
        <v>6.75</v>
      </c>
      <c r="D47" s="1">
        <f t="shared" ca="1" si="0"/>
        <v>31.333333333333336</v>
      </c>
      <c r="E47" s="1">
        <f t="shared" ca="1" si="1"/>
        <v>95.333333333333343</v>
      </c>
      <c r="F47" s="1">
        <f t="shared" ca="1" si="4"/>
        <v>0.75</v>
      </c>
      <c r="G47" s="1">
        <f t="shared" ca="1" si="5"/>
        <v>2.75</v>
      </c>
      <c r="H47" s="15">
        <f t="shared" si="2"/>
        <v>5</v>
      </c>
    </row>
    <row r="48" spans="1:8" ht="16.2" thickBot="1" x14ac:dyDescent="0.35">
      <c r="A48">
        <v>47</v>
      </c>
      <c r="B48" s="2">
        <f ca="1">AVERAGE(OFFSET('n=1'!$B$1,(ROW()-2)*$P$2+1,0,$P$2,1))</f>
        <v>52.25</v>
      </c>
      <c r="C48" s="18">
        <f t="shared" ca="1" si="3"/>
        <v>9</v>
      </c>
      <c r="D48" s="1">
        <f t="shared" ca="1" si="0"/>
        <v>31.833333333333336</v>
      </c>
      <c r="E48" s="1">
        <f t="shared" ca="1" si="1"/>
        <v>94.833333333333343</v>
      </c>
      <c r="F48" s="1">
        <f t="shared" ca="1" si="4"/>
        <v>2.5</v>
      </c>
      <c r="G48" s="1">
        <f t="shared" ca="1" si="5"/>
        <v>0</v>
      </c>
      <c r="H48" s="15">
        <f t="shared" si="2"/>
        <v>5</v>
      </c>
    </row>
    <row r="49" spans="1:8" ht="16.2" thickBot="1" x14ac:dyDescent="0.35">
      <c r="A49">
        <v>48</v>
      </c>
      <c r="B49" s="2">
        <f ca="1">AVERAGE(OFFSET('n=1'!$B$1,(ROW()-2)*$P$2+1,0,$P$2,1))</f>
        <v>49.75</v>
      </c>
      <c r="C49" s="18">
        <f t="shared" ca="1" si="3"/>
        <v>8.75</v>
      </c>
      <c r="D49" s="1">
        <f t="shared" ca="1" si="0"/>
        <v>32.333333333333336</v>
      </c>
      <c r="E49" s="1">
        <f t="shared" ca="1" si="1"/>
        <v>94.333333333333343</v>
      </c>
      <c r="F49" s="1">
        <f t="shared" ca="1" si="4"/>
        <v>1.75</v>
      </c>
      <c r="G49" s="1">
        <f t="shared" ca="1" si="5"/>
        <v>0</v>
      </c>
      <c r="H49" s="15">
        <f t="shared" si="2"/>
        <v>5</v>
      </c>
    </row>
    <row r="50" spans="1:8" ht="16.2" thickBot="1" x14ac:dyDescent="0.35">
      <c r="A50">
        <v>49</v>
      </c>
      <c r="B50" s="2">
        <f ca="1">AVERAGE(OFFSET('n=1'!$B$1,(ROW()-2)*$P$2+1,0,$P$2,1))</f>
        <v>51</v>
      </c>
      <c r="C50" s="18">
        <f t="shared" ca="1" si="3"/>
        <v>9.75</v>
      </c>
      <c r="D50" s="1">
        <f t="shared" ca="1" si="0"/>
        <v>32.833333333333336</v>
      </c>
      <c r="E50" s="1">
        <f t="shared" ca="1" si="1"/>
        <v>93.833333333333343</v>
      </c>
      <c r="F50" s="1">
        <f t="shared" ca="1" si="4"/>
        <v>2.25</v>
      </c>
      <c r="G50" s="1">
        <f t="shared" ca="1" si="5"/>
        <v>0</v>
      </c>
      <c r="H50" s="15">
        <f t="shared" si="2"/>
        <v>5</v>
      </c>
    </row>
    <row r="51" spans="1:8" ht="16.2" thickBot="1" x14ac:dyDescent="0.35">
      <c r="A51">
        <v>50</v>
      </c>
      <c r="B51" s="2">
        <f ca="1">AVERAGE(OFFSET('n=1'!$B$1,(ROW()-2)*$P$2+1,0,$P$2,1))</f>
        <v>50</v>
      </c>
      <c r="C51" s="18">
        <f t="shared" ca="1" si="3"/>
        <v>9.75</v>
      </c>
      <c r="D51" s="1">
        <f t="shared" ca="1" si="0"/>
        <v>33.333333333333336</v>
      </c>
      <c r="E51" s="1">
        <f t="shared" ca="1" si="1"/>
        <v>93.333333333333343</v>
      </c>
      <c r="F51" s="1">
        <f t="shared" ca="1" si="4"/>
        <v>1.75</v>
      </c>
      <c r="G51" s="1">
        <f t="shared" ca="1" si="5"/>
        <v>0</v>
      </c>
      <c r="H51" s="15">
        <f t="shared" si="2"/>
        <v>5</v>
      </c>
    </row>
    <row r="52" spans="1:8" ht="16.2" thickBot="1" x14ac:dyDescent="0.35">
      <c r="A52">
        <v>51</v>
      </c>
      <c r="B52" s="2">
        <f ca="1">AVERAGE(OFFSET('n=1'!$B$1,(ROW()-2)*$P$2+1,0,$P$2,1))</f>
        <v>50.75</v>
      </c>
      <c r="C52" s="18">
        <f t="shared" ca="1" si="3"/>
        <v>10.5</v>
      </c>
      <c r="D52" s="1">
        <f t="shared" ca="1" si="0"/>
        <v>33.833333333333336</v>
      </c>
      <c r="E52" s="1">
        <f t="shared" ca="1" si="1"/>
        <v>92.833333333333343</v>
      </c>
      <c r="F52" s="1">
        <f t="shared" ca="1" si="4"/>
        <v>2</v>
      </c>
      <c r="G52" s="1">
        <f t="shared" ca="1" si="5"/>
        <v>0</v>
      </c>
      <c r="H52" s="15">
        <f t="shared" si="2"/>
        <v>5</v>
      </c>
    </row>
    <row r="53" spans="1:8" ht="16.2" thickBot="1" x14ac:dyDescent="0.35">
      <c r="A53">
        <v>52</v>
      </c>
      <c r="B53" s="2">
        <f ca="1">AVERAGE(OFFSET('n=1'!$B$1,(ROW()-2)*$P$2+1,0,$P$2,1))</f>
        <v>52</v>
      </c>
      <c r="C53" s="18">
        <f t="shared" ca="1" si="3"/>
        <v>12.5</v>
      </c>
      <c r="D53" s="1">
        <f t="shared" ca="1" si="0"/>
        <v>34.333333333333336</v>
      </c>
      <c r="E53" s="1">
        <f t="shared" ca="1" si="1"/>
        <v>92.333333333333343</v>
      </c>
      <c r="F53" s="1">
        <f t="shared" ca="1" si="4"/>
        <v>3.5</v>
      </c>
      <c r="G53" s="1">
        <f t="shared" ca="1" si="5"/>
        <v>0</v>
      </c>
      <c r="H53" s="15">
        <f t="shared" si="2"/>
        <v>5</v>
      </c>
    </row>
    <row r="54" spans="1:8" ht="16.2" thickBot="1" x14ac:dyDescent="0.35">
      <c r="A54">
        <v>53</v>
      </c>
      <c r="B54" s="2">
        <f ca="1">AVERAGE(OFFSET('n=1'!$B$1,(ROW()-2)*$P$2+1,0,$P$2,1))</f>
        <v>51.25</v>
      </c>
      <c r="C54" s="18">
        <f t="shared" ca="1" si="3"/>
        <v>13.75</v>
      </c>
      <c r="D54" s="1">
        <f t="shared" ca="1" si="0"/>
        <v>34.833333333333336</v>
      </c>
      <c r="E54" s="1">
        <f t="shared" ca="1" si="1"/>
        <v>91.833333333333343</v>
      </c>
      <c r="F54" s="1">
        <f t="shared" ca="1" si="4"/>
        <v>4.25</v>
      </c>
      <c r="G54" s="1">
        <f t="shared" ca="1" si="5"/>
        <v>0</v>
      </c>
      <c r="H54" s="15">
        <f t="shared" si="2"/>
        <v>5</v>
      </c>
    </row>
    <row r="55" spans="1:8" ht="16.2" thickBot="1" x14ac:dyDescent="0.35">
      <c r="A55">
        <v>54</v>
      </c>
      <c r="B55" s="2">
        <f ca="1">AVERAGE(OFFSET('n=1'!$B$1,(ROW()-2)*$P$2+1,0,$P$2,1))</f>
        <v>50</v>
      </c>
      <c r="C55" s="18">
        <f t="shared" ca="1" si="3"/>
        <v>13.75</v>
      </c>
      <c r="D55" s="1">
        <f t="shared" ca="1" si="0"/>
        <v>35.333333333333336</v>
      </c>
      <c r="E55" s="1">
        <f t="shared" ca="1" si="1"/>
        <v>91.333333333333343</v>
      </c>
      <c r="F55" s="1">
        <f t="shared" ca="1" si="4"/>
        <v>3.75</v>
      </c>
      <c r="G55" s="1">
        <f t="shared" ca="1" si="5"/>
        <v>0</v>
      </c>
      <c r="H55" s="15">
        <f t="shared" si="2"/>
        <v>5</v>
      </c>
    </row>
    <row r="56" spans="1:8" ht="16.2" thickBot="1" x14ac:dyDescent="0.35">
      <c r="A56">
        <v>55</v>
      </c>
      <c r="B56" s="2">
        <f ca="1">AVERAGE(OFFSET('n=1'!$B$1,(ROW()-2)*$P$2+1,0,$P$2,1))</f>
        <v>50.75</v>
      </c>
      <c r="C56" s="18">
        <f t="shared" ca="1" si="3"/>
        <v>14.5</v>
      </c>
      <c r="D56" s="1">
        <f t="shared" ca="1" si="0"/>
        <v>35.833333333333336</v>
      </c>
      <c r="E56" s="1">
        <f t="shared" ca="1" si="1"/>
        <v>90.833333333333343</v>
      </c>
      <c r="F56" s="1">
        <f t="shared" ca="1" si="4"/>
        <v>4</v>
      </c>
      <c r="G56" s="1">
        <f t="shared" ca="1" si="5"/>
        <v>0</v>
      </c>
      <c r="H56" s="15">
        <f t="shared" si="2"/>
        <v>5</v>
      </c>
    </row>
    <row r="57" spans="1:8" ht="16.2" thickBot="1" x14ac:dyDescent="0.35">
      <c r="A57">
        <v>56</v>
      </c>
      <c r="B57" s="2">
        <f ca="1">AVERAGE(OFFSET('n=1'!$B$1,(ROW()-2)*$P$2+1,0,$P$2,1))</f>
        <v>50.75</v>
      </c>
      <c r="C57" s="18">
        <f t="shared" ca="1" si="3"/>
        <v>15.25</v>
      </c>
      <c r="D57" s="1">
        <f t="shared" ca="1" si="0"/>
        <v>36.333333333333336</v>
      </c>
      <c r="E57" s="1">
        <f t="shared" ca="1" si="1"/>
        <v>90.333333333333343</v>
      </c>
      <c r="F57" s="1">
        <f t="shared" ca="1" si="4"/>
        <v>4.25</v>
      </c>
      <c r="G57" s="1">
        <f t="shared" ca="1" si="5"/>
        <v>0</v>
      </c>
      <c r="H57" s="15">
        <f t="shared" si="2"/>
        <v>5</v>
      </c>
    </row>
    <row r="58" spans="1:8" ht="16.2" thickBot="1" x14ac:dyDescent="0.35">
      <c r="A58">
        <v>57</v>
      </c>
      <c r="B58" s="2">
        <f ca="1">AVERAGE(OFFSET('n=1'!$B$1,(ROW()-2)*$P$2+1,0,$P$2,1))</f>
        <v>49.5</v>
      </c>
      <c r="C58" s="18">
        <f t="shared" ca="1" si="3"/>
        <v>14.75</v>
      </c>
      <c r="D58" s="1">
        <f t="shared" ca="1" si="0"/>
        <v>36.833333333333336</v>
      </c>
      <c r="E58" s="1">
        <f t="shared" ca="1" si="1"/>
        <v>89.833333333333343</v>
      </c>
      <c r="F58" s="1">
        <f t="shared" ca="1" si="4"/>
        <v>3.25</v>
      </c>
      <c r="G58" s="1">
        <f t="shared" ca="1" si="5"/>
        <v>0</v>
      </c>
      <c r="H58" s="15">
        <f t="shared" si="2"/>
        <v>5</v>
      </c>
    </row>
    <row r="59" spans="1:8" ht="16.2" thickBot="1" x14ac:dyDescent="0.35">
      <c r="A59">
        <v>58</v>
      </c>
      <c r="B59" s="2">
        <f ca="1">AVERAGE(OFFSET('n=1'!$B$1,(ROW()-2)*$P$2+1,0,$P$2,1))</f>
        <v>49.25</v>
      </c>
      <c r="C59" s="18">
        <f t="shared" ca="1" si="3"/>
        <v>14</v>
      </c>
      <c r="D59" s="1">
        <f t="shared" ca="1" si="0"/>
        <v>37.333333333333336</v>
      </c>
      <c r="E59" s="1">
        <f t="shared" ca="1" si="1"/>
        <v>89.333333333333343</v>
      </c>
      <c r="F59" s="1">
        <f t="shared" ca="1" si="4"/>
        <v>2</v>
      </c>
      <c r="G59" s="1">
        <f t="shared" ca="1" si="5"/>
        <v>0.25</v>
      </c>
      <c r="H59" s="15">
        <f t="shared" si="2"/>
        <v>5</v>
      </c>
    </row>
    <row r="60" spans="1:8" ht="16.2" thickBot="1" x14ac:dyDescent="0.35">
      <c r="A60">
        <v>59</v>
      </c>
      <c r="B60" s="2">
        <f ca="1">AVERAGE(OFFSET('n=1'!$B$1,(ROW()-2)*$P$2+1,0,$P$2,1))</f>
        <v>51.75</v>
      </c>
      <c r="C60" s="18">
        <f t="shared" ca="1" si="3"/>
        <v>15.75</v>
      </c>
      <c r="D60" s="1">
        <f t="shared" ca="1" si="0"/>
        <v>37.833333333333336</v>
      </c>
      <c r="E60" s="1">
        <f t="shared" ca="1" si="1"/>
        <v>88.833333333333343</v>
      </c>
      <c r="F60" s="1">
        <f t="shared" ca="1" si="4"/>
        <v>3.25</v>
      </c>
      <c r="G60" s="1">
        <f t="shared" ca="1" si="5"/>
        <v>0</v>
      </c>
      <c r="H60" s="15">
        <f t="shared" si="2"/>
        <v>5</v>
      </c>
    </row>
    <row r="61" spans="1:8" ht="16.2" thickBot="1" x14ac:dyDescent="0.35">
      <c r="A61">
        <v>60</v>
      </c>
      <c r="B61" s="2">
        <f ca="1">AVERAGE(OFFSET('n=1'!$B$1,(ROW()-2)*$P$2+1,0,$P$2,1))</f>
        <v>49</v>
      </c>
      <c r="C61" s="18">
        <f t="shared" ca="1" si="3"/>
        <v>14.75</v>
      </c>
      <c r="D61" s="1">
        <f t="shared" ca="1" si="0"/>
        <v>38.333333333333336</v>
      </c>
      <c r="E61" s="1">
        <f t="shared" ca="1" si="1"/>
        <v>88.333333333333343</v>
      </c>
      <c r="F61" s="1">
        <f t="shared" ca="1" si="4"/>
        <v>1.75</v>
      </c>
      <c r="G61" s="1">
        <f t="shared" ca="1" si="5"/>
        <v>0.5</v>
      </c>
      <c r="H61" s="15">
        <f t="shared" si="2"/>
        <v>5</v>
      </c>
    </row>
    <row r="62" spans="1:8" ht="16.2" thickBot="1" x14ac:dyDescent="0.35">
      <c r="A62">
        <v>61</v>
      </c>
      <c r="B62" s="2">
        <f ca="1">AVERAGE(OFFSET('n=1'!$B$1,(ROW()-2)*$P$2+1,0,$P$2,1))</f>
        <v>50.25</v>
      </c>
      <c r="C62" s="18">
        <f t="shared" ca="1" si="3"/>
        <v>15</v>
      </c>
      <c r="D62" s="1">
        <f t="shared" ca="1" si="0"/>
        <v>38.833333333333336</v>
      </c>
      <c r="E62" s="1">
        <f t="shared" ca="1" si="1"/>
        <v>87.833333333333343</v>
      </c>
      <c r="F62" s="1">
        <f t="shared" ca="1" si="4"/>
        <v>1.5</v>
      </c>
      <c r="G62" s="1">
        <f t="shared" ca="1" si="5"/>
        <v>0</v>
      </c>
      <c r="H62" s="15">
        <f t="shared" si="2"/>
        <v>5</v>
      </c>
    </row>
    <row r="63" spans="1:8" ht="16.2" thickBot="1" x14ac:dyDescent="0.35">
      <c r="A63">
        <v>62</v>
      </c>
      <c r="B63" s="2">
        <f ca="1">AVERAGE(OFFSET('n=1'!$B$1,(ROW()-2)*$P$2+1,0,$P$2,1))</f>
        <v>52.75</v>
      </c>
      <c r="C63" s="18">
        <f t="shared" ca="1" si="3"/>
        <v>17.75</v>
      </c>
      <c r="D63" s="1">
        <f t="shared" ca="1" si="0"/>
        <v>39.333333333333336</v>
      </c>
      <c r="E63" s="1">
        <f t="shared" ca="1" si="1"/>
        <v>87.333333333333343</v>
      </c>
      <c r="F63" s="1">
        <f t="shared" ca="1" si="4"/>
        <v>3.75</v>
      </c>
      <c r="G63" s="1">
        <f t="shared" ca="1" si="5"/>
        <v>0</v>
      </c>
      <c r="H63" s="15">
        <f t="shared" si="2"/>
        <v>5</v>
      </c>
    </row>
    <row r="64" spans="1:8" ht="16.2" thickBot="1" x14ac:dyDescent="0.35">
      <c r="A64">
        <v>63</v>
      </c>
      <c r="B64" s="2">
        <f ca="1">AVERAGE(OFFSET('n=1'!$B$1,(ROW()-2)*$P$2+1,0,$P$2,1))</f>
        <v>51.5</v>
      </c>
      <c r="C64" s="18">
        <f t="shared" ca="1" si="3"/>
        <v>19.25</v>
      </c>
      <c r="D64" s="1">
        <f t="shared" ca="1" si="0"/>
        <v>39.833333333333336</v>
      </c>
      <c r="E64" s="1">
        <f t="shared" ca="1" si="1"/>
        <v>86.833333333333343</v>
      </c>
      <c r="F64" s="1">
        <f t="shared" ca="1" si="4"/>
        <v>4.75</v>
      </c>
      <c r="G64" s="1">
        <f t="shared" ca="1" si="5"/>
        <v>0</v>
      </c>
      <c r="H64" s="15">
        <f t="shared" si="2"/>
        <v>5</v>
      </c>
    </row>
    <row r="65" spans="1:8" ht="16.2" thickBot="1" x14ac:dyDescent="0.35">
      <c r="A65">
        <v>64</v>
      </c>
      <c r="B65" s="2">
        <f ca="1">AVERAGE(OFFSET('n=1'!$B$1,(ROW()-2)*$P$2+1,0,$P$2,1))</f>
        <v>52.75</v>
      </c>
      <c r="C65" s="18">
        <f t="shared" ca="1" si="3"/>
        <v>22</v>
      </c>
      <c r="D65" s="1">
        <f t="shared" ca="1" si="0"/>
        <v>40.333333333333336</v>
      </c>
      <c r="E65" s="1">
        <f t="shared" ca="1" si="1"/>
        <v>86.333333333333343</v>
      </c>
      <c r="F65" s="1">
        <f t="shared" ca="1" si="4"/>
        <v>7</v>
      </c>
      <c r="G65" s="1">
        <f t="shared" ca="1" si="5"/>
        <v>0</v>
      </c>
      <c r="H65" s="15">
        <f t="shared" si="2"/>
        <v>5</v>
      </c>
    </row>
    <row r="66" spans="1:8" ht="16.2" thickBot="1" x14ac:dyDescent="0.35">
      <c r="A66">
        <v>65</v>
      </c>
      <c r="B66" s="2">
        <f ca="1">AVERAGE(OFFSET('n=1'!$B$1,(ROW()-2)*$P$2+1,0,$P$2,1))</f>
        <v>54</v>
      </c>
      <c r="C66" s="18">
        <f t="shared" ca="1" si="3"/>
        <v>26</v>
      </c>
      <c r="D66" s="1">
        <f t="shared" ref="D66:D99" ca="1" si="6">D67-$M$2</f>
        <v>40.833333333333336</v>
      </c>
      <c r="E66" s="1">
        <f t="shared" ref="E66:E99" ca="1" si="7">E67+$M$2</f>
        <v>85.833333333333343</v>
      </c>
      <c r="F66" s="1">
        <f t="shared" ca="1" si="4"/>
        <v>10.5</v>
      </c>
      <c r="G66" s="1">
        <f t="shared" ca="1" si="5"/>
        <v>0</v>
      </c>
      <c r="H66" s="15">
        <f t="shared" si="2"/>
        <v>5</v>
      </c>
    </row>
    <row r="67" spans="1:8" ht="16.2" thickBot="1" x14ac:dyDescent="0.35">
      <c r="A67">
        <v>66</v>
      </c>
      <c r="B67" s="2">
        <f ca="1">AVERAGE(OFFSET('n=1'!$B$1,(ROW()-2)*$P$2+1,0,$P$2,1))</f>
        <v>52.25</v>
      </c>
      <c r="C67" s="18">
        <f t="shared" ca="1" si="3"/>
        <v>28.25</v>
      </c>
      <c r="D67" s="1">
        <f t="shared" ca="1" si="6"/>
        <v>41.333333333333336</v>
      </c>
      <c r="E67" s="1">
        <f t="shared" ca="1" si="7"/>
        <v>85.333333333333343</v>
      </c>
      <c r="F67" s="1">
        <f t="shared" ca="1" si="4"/>
        <v>12.25</v>
      </c>
      <c r="G67" s="1">
        <f t="shared" ca="1" si="5"/>
        <v>0</v>
      </c>
      <c r="H67" s="15">
        <f t="shared" ref="H67:H101" si="8">$O$2</f>
        <v>5</v>
      </c>
    </row>
    <row r="68" spans="1:8" ht="16.2" thickBot="1" x14ac:dyDescent="0.35">
      <c r="A68">
        <v>67</v>
      </c>
      <c r="B68" s="2">
        <f ca="1">AVERAGE(OFFSET('n=1'!$B$1,(ROW()-2)*$P$2+1,0,$P$2,1))</f>
        <v>51</v>
      </c>
      <c r="C68" s="18">
        <f t="shared" ref="C68:C101" ca="1" si="9">B68-$L$2+C67</f>
        <v>29.25</v>
      </c>
      <c r="D68" s="1">
        <f t="shared" ca="1" si="6"/>
        <v>41.833333333333336</v>
      </c>
      <c r="E68" s="1">
        <f t="shared" ca="1" si="7"/>
        <v>84.833333333333343</v>
      </c>
      <c r="F68" s="1">
        <f t="shared" ref="F68:F101" ca="1" si="10">MAX(0,B68-$L$2-$M$2+F67)</f>
        <v>12.75</v>
      </c>
      <c r="G68" s="1">
        <f t="shared" ref="G68:G101" ca="1" si="11">MAX(0,$L$2-B68-$M$2+G67)</f>
        <v>0</v>
      </c>
      <c r="H68" s="15">
        <f t="shared" si="8"/>
        <v>5</v>
      </c>
    </row>
    <row r="69" spans="1:8" ht="16.2" thickBot="1" x14ac:dyDescent="0.35">
      <c r="A69">
        <v>68</v>
      </c>
      <c r="B69" s="2">
        <f ca="1">AVERAGE(OFFSET('n=1'!$B$1,(ROW()-2)*$P$2+1,0,$P$2,1))</f>
        <v>47.75</v>
      </c>
      <c r="C69" s="18">
        <f t="shared" ca="1" si="9"/>
        <v>27</v>
      </c>
      <c r="D69" s="1">
        <f t="shared" ca="1" si="6"/>
        <v>42.333333333333336</v>
      </c>
      <c r="E69" s="1">
        <f t="shared" ca="1" si="7"/>
        <v>84.333333333333343</v>
      </c>
      <c r="F69" s="1">
        <f t="shared" ca="1" si="10"/>
        <v>10</v>
      </c>
      <c r="G69" s="1">
        <f t="shared" ca="1" si="11"/>
        <v>1.75</v>
      </c>
      <c r="H69" s="15">
        <f t="shared" si="8"/>
        <v>5</v>
      </c>
    </row>
    <row r="70" spans="1:8" ht="16.2" thickBot="1" x14ac:dyDescent="0.35">
      <c r="A70">
        <v>69</v>
      </c>
      <c r="B70" s="2">
        <f ca="1">AVERAGE(OFFSET('n=1'!$B$1,(ROW()-2)*$P$2+1,0,$P$2,1))</f>
        <v>51.5</v>
      </c>
      <c r="C70" s="18">
        <f t="shared" ca="1" si="9"/>
        <v>28.5</v>
      </c>
      <c r="D70" s="1">
        <f t="shared" ca="1" si="6"/>
        <v>42.833333333333336</v>
      </c>
      <c r="E70" s="1">
        <f t="shared" ca="1" si="7"/>
        <v>83.833333333333343</v>
      </c>
      <c r="F70" s="1">
        <f t="shared" ca="1" si="10"/>
        <v>11</v>
      </c>
      <c r="G70" s="1">
        <f t="shared" ca="1" si="11"/>
        <v>0</v>
      </c>
      <c r="H70" s="15">
        <f t="shared" si="8"/>
        <v>5</v>
      </c>
    </row>
    <row r="71" spans="1:8" ht="16.2" thickBot="1" x14ac:dyDescent="0.35">
      <c r="A71">
        <v>70</v>
      </c>
      <c r="B71" s="2">
        <f ca="1">AVERAGE(OFFSET('n=1'!$B$1,(ROW()-2)*$P$2+1,0,$P$2,1))</f>
        <v>51.75</v>
      </c>
      <c r="C71" s="18">
        <f t="shared" ca="1" si="9"/>
        <v>30.25</v>
      </c>
      <c r="D71" s="1">
        <f t="shared" ca="1" si="6"/>
        <v>43.333333333333336</v>
      </c>
      <c r="E71" s="1">
        <f t="shared" ca="1" si="7"/>
        <v>83.333333333333343</v>
      </c>
      <c r="F71" s="1">
        <f t="shared" ca="1" si="10"/>
        <v>12.25</v>
      </c>
      <c r="G71" s="1">
        <f t="shared" ca="1" si="11"/>
        <v>0</v>
      </c>
      <c r="H71" s="15">
        <f t="shared" si="8"/>
        <v>5</v>
      </c>
    </row>
    <row r="72" spans="1:8" ht="16.2" thickBot="1" x14ac:dyDescent="0.35">
      <c r="A72">
        <v>71</v>
      </c>
      <c r="B72" s="2">
        <f ca="1">AVERAGE(OFFSET('n=1'!$B$1,(ROW()-2)*$P$2+1,0,$P$2,1))</f>
        <v>50.5</v>
      </c>
      <c r="C72" s="18">
        <f t="shared" ca="1" si="9"/>
        <v>30.75</v>
      </c>
      <c r="D72" s="1">
        <f t="shared" ca="1" si="6"/>
        <v>43.833333333333336</v>
      </c>
      <c r="E72" s="1">
        <f t="shared" ca="1" si="7"/>
        <v>82.833333333333343</v>
      </c>
      <c r="F72" s="1">
        <f t="shared" ca="1" si="10"/>
        <v>12.25</v>
      </c>
      <c r="G72" s="1">
        <f t="shared" ca="1" si="11"/>
        <v>0</v>
      </c>
      <c r="H72" s="15">
        <f t="shared" si="8"/>
        <v>5</v>
      </c>
    </row>
    <row r="73" spans="1:8" ht="16.2" thickBot="1" x14ac:dyDescent="0.35">
      <c r="A73">
        <v>72</v>
      </c>
      <c r="B73" s="2">
        <f ca="1">AVERAGE(OFFSET('n=1'!$B$1,(ROW()-2)*$P$2+1,0,$P$2,1))</f>
        <v>51.5</v>
      </c>
      <c r="C73" s="18">
        <f t="shared" ca="1" si="9"/>
        <v>32.25</v>
      </c>
      <c r="D73" s="1">
        <f t="shared" ca="1" si="6"/>
        <v>44.333333333333336</v>
      </c>
      <c r="E73" s="1">
        <f t="shared" ca="1" si="7"/>
        <v>82.333333333333343</v>
      </c>
      <c r="F73" s="1">
        <f t="shared" ca="1" si="10"/>
        <v>13.25</v>
      </c>
      <c r="G73" s="1">
        <f t="shared" ca="1" si="11"/>
        <v>0</v>
      </c>
      <c r="H73" s="15">
        <f t="shared" si="8"/>
        <v>5</v>
      </c>
    </row>
    <row r="74" spans="1:8" ht="16.2" thickBot="1" x14ac:dyDescent="0.35">
      <c r="A74">
        <v>73</v>
      </c>
      <c r="B74" s="2">
        <f ca="1">AVERAGE(OFFSET('n=1'!$B$1,(ROW()-2)*$P$2+1,0,$P$2,1))</f>
        <v>51</v>
      </c>
      <c r="C74" s="18">
        <f t="shared" ca="1" si="9"/>
        <v>33.25</v>
      </c>
      <c r="D74" s="1">
        <f t="shared" ca="1" si="6"/>
        <v>44.833333333333336</v>
      </c>
      <c r="E74" s="1">
        <f t="shared" ca="1" si="7"/>
        <v>81.833333333333343</v>
      </c>
      <c r="F74" s="1">
        <f t="shared" ca="1" si="10"/>
        <v>13.75</v>
      </c>
      <c r="G74" s="1">
        <f t="shared" ca="1" si="11"/>
        <v>0</v>
      </c>
      <c r="H74" s="15">
        <f t="shared" si="8"/>
        <v>5</v>
      </c>
    </row>
    <row r="75" spans="1:8" ht="16.2" thickBot="1" x14ac:dyDescent="0.35">
      <c r="A75">
        <v>74</v>
      </c>
      <c r="B75" s="2">
        <f ca="1">AVERAGE(OFFSET('n=1'!$B$1,(ROW()-2)*$P$2+1,0,$P$2,1))</f>
        <v>54.5</v>
      </c>
      <c r="C75" s="18">
        <f t="shared" ca="1" si="9"/>
        <v>37.75</v>
      </c>
      <c r="D75" s="1">
        <f t="shared" ca="1" si="6"/>
        <v>45.333333333333336</v>
      </c>
      <c r="E75" s="1">
        <f t="shared" ca="1" si="7"/>
        <v>81.333333333333343</v>
      </c>
      <c r="F75" s="1">
        <f t="shared" ca="1" si="10"/>
        <v>17.75</v>
      </c>
      <c r="G75" s="1">
        <f t="shared" ca="1" si="11"/>
        <v>0</v>
      </c>
      <c r="H75" s="15">
        <f t="shared" si="8"/>
        <v>5</v>
      </c>
    </row>
    <row r="76" spans="1:8" ht="16.2" thickBot="1" x14ac:dyDescent="0.35">
      <c r="A76">
        <v>75</v>
      </c>
      <c r="B76" s="2">
        <f ca="1">AVERAGE(OFFSET('n=1'!$B$1,(ROW()-2)*$P$2+1,0,$P$2,1))</f>
        <v>52.75</v>
      </c>
      <c r="C76" s="18">
        <f t="shared" ca="1" si="9"/>
        <v>40.5</v>
      </c>
      <c r="D76" s="1">
        <f t="shared" ca="1" si="6"/>
        <v>45.833333333333336</v>
      </c>
      <c r="E76" s="1">
        <f t="shared" ca="1" si="7"/>
        <v>80.833333333333343</v>
      </c>
      <c r="F76" s="1">
        <f t="shared" ca="1" si="10"/>
        <v>20</v>
      </c>
      <c r="G76" s="1">
        <f t="shared" ca="1" si="11"/>
        <v>0</v>
      </c>
      <c r="H76" s="15">
        <f t="shared" si="8"/>
        <v>5</v>
      </c>
    </row>
    <row r="77" spans="1:8" ht="16.2" thickBot="1" x14ac:dyDescent="0.35">
      <c r="A77">
        <v>76</v>
      </c>
      <c r="B77" s="2">
        <f ca="1">AVERAGE(OFFSET('n=1'!$B$1,(ROW()-2)*$P$2+1,0,$P$2,1))</f>
        <v>48.5</v>
      </c>
      <c r="C77" s="18">
        <f t="shared" ca="1" si="9"/>
        <v>39</v>
      </c>
      <c r="D77" s="1">
        <f t="shared" ca="1" si="6"/>
        <v>46.333333333333336</v>
      </c>
      <c r="E77" s="1">
        <f t="shared" ca="1" si="7"/>
        <v>80.333333333333343</v>
      </c>
      <c r="F77" s="1">
        <f t="shared" ca="1" si="10"/>
        <v>18</v>
      </c>
      <c r="G77" s="1">
        <f t="shared" ca="1" si="11"/>
        <v>1</v>
      </c>
      <c r="H77" s="15">
        <f t="shared" si="8"/>
        <v>5</v>
      </c>
    </row>
    <row r="78" spans="1:8" ht="16.2" thickBot="1" x14ac:dyDescent="0.35">
      <c r="A78">
        <v>77</v>
      </c>
      <c r="B78" s="2">
        <f ca="1">AVERAGE(OFFSET('n=1'!$B$1,(ROW()-2)*$P$2+1,0,$P$2,1))</f>
        <v>51.25</v>
      </c>
      <c r="C78" s="18">
        <f t="shared" ca="1" si="9"/>
        <v>40.25</v>
      </c>
      <c r="D78" s="1">
        <f t="shared" ca="1" si="6"/>
        <v>46.833333333333336</v>
      </c>
      <c r="E78" s="1">
        <f t="shared" ca="1" si="7"/>
        <v>79.833333333333343</v>
      </c>
      <c r="F78" s="1">
        <f t="shared" ca="1" si="10"/>
        <v>18.75</v>
      </c>
      <c r="G78" s="1">
        <f t="shared" ca="1" si="11"/>
        <v>0</v>
      </c>
      <c r="H78" s="15">
        <f t="shared" si="8"/>
        <v>5</v>
      </c>
    </row>
    <row r="79" spans="1:8" ht="16.2" thickBot="1" x14ac:dyDescent="0.35">
      <c r="A79">
        <v>78</v>
      </c>
      <c r="B79" s="2">
        <f ca="1">AVERAGE(OFFSET('n=1'!$B$1,(ROW()-2)*$P$2+1,0,$P$2,1))</f>
        <v>49.25</v>
      </c>
      <c r="C79" s="18">
        <f t="shared" ca="1" si="9"/>
        <v>39.5</v>
      </c>
      <c r="D79" s="1">
        <f t="shared" ca="1" si="6"/>
        <v>47.333333333333336</v>
      </c>
      <c r="E79" s="1">
        <f t="shared" ca="1" si="7"/>
        <v>79.333333333333343</v>
      </c>
      <c r="F79" s="1">
        <f t="shared" ca="1" si="10"/>
        <v>17.5</v>
      </c>
      <c r="G79" s="1">
        <f t="shared" ca="1" si="11"/>
        <v>0.25</v>
      </c>
      <c r="H79" s="15">
        <f t="shared" si="8"/>
        <v>5</v>
      </c>
    </row>
    <row r="80" spans="1:8" ht="16.2" thickBot="1" x14ac:dyDescent="0.35">
      <c r="A80">
        <v>79</v>
      </c>
      <c r="B80" s="2">
        <f ca="1">AVERAGE(OFFSET('n=1'!$B$1,(ROW()-2)*$P$2+1,0,$P$2,1))</f>
        <v>51.75</v>
      </c>
      <c r="C80" s="18">
        <f t="shared" ca="1" si="9"/>
        <v>41.25</v>
      </c>
      <c r="D80" s="1">
        <f t="shared" ca="1" si="6"/>
        <v>47.833333333333336</v>
      </c>
      <c r="E80" s="1">
        <f t="shared" ca="1" si="7"/>
        <v>78.833333333333343</v>
      </c>
      <c r="F80" s="1">
        <f t="shared" ca="1" si="10"/>
        <v>18.75</v>
      </c>
      <c r="G80" s="1">
        <f t="shared" ca="1" si="11"/>
        <v>0</v>
      </c>
      <c r="H80" s="15">
        <f t="shared" si="8"/>
        <v>5</v>
      </c>
    </row>
    <row r="81" spans="1:8" ht="16.2" thickBot="1" x14ac:dyDescent="0.35">
      <c r="A81">
        <v>80</v>
      </c>
      <c r="B81" s="2">
        <f ca="1">AVERAGE(OFFSET('n=1'!$B$1,(ROW()-2)*$P$2+1,0,$P$2,1))</f>
        <v>49</v>
      </c>
      <c r="C81" s="18">
        <f t="shared" ca="1" si="9"/>
        <v>40.25</v>
      </c>
      <c r="D81" s="1">
        <f t="shared" ca="1" si="6"/>
        <v>48.333333333333336</v>
      </c>
      <c r="E81" s="1">
        <f t="shared" ca="1" si="7"/>
        <v>78.333333333333343</v>
      </c>
      <c r="F81" s="1">
        <f t="shared" ca="1" si="10"/>
        <v>17.25</v>
      </c>
      <c r="G81" s="1">
        <f t="shared" ca="1" si="11"/>
        <v>0.5</v>
      </c>
      <c r="H81" s="15">
        <f t="shared" si="8"/>
        <v>5</v>
      </c>
    </row>
    <row r="82" spans="1:8" ht="16.2" thickBot="1" x14ac:dyDescent="0.35">
      <c r="A82">
        <v>81</v>
      </c>
      <c r="B82" s="2">
        <f ca="1">AVERAGE(OFFSET('n=1'!$B$1,(ROW()-2)*$P$2+1,0,$P$2,1))</f>
        <v>54.25</v>
      </c>
      <c r="C82" s="18">
        <f t="shared" ca="1" si="9"/>
        <v>44.5</v>
      </c>
      <c r="D82" s="1">
        <f t="shared" ca="1" si="6"/>
        <v>48.833333333333336</v>
      </c>
      <c r="E82" s="1">
        <f t="shared" ca="1" si="7"/>
        <v>77.833333333333343</v>
      </c>
      <c r="F82" s="1">
        <f t="shared" ca="1" si="10"/>
        <v>21</v>
      </c>
      <c r="G82" s="1">
        <f t="shared" ca="1" si="11"/>
        <v>0</v>
      </c>
      <c r="H82" s="15">
        <f t="shared" si="8"/>
        <v>5</v>
      </c>
    </row>
    <row r="83" spans="1:8" ht="16.2" thickBot="1" x14ac:dyDescent="0.35">
      <c r="A83">
        <v>82</v>
      </c>
      <c r="B83" s="2">
        <f ca="1">AVERAGE(OFFSET('n=1'!$B$1,(ROW()-2)*$P$2+1,0,$P$2,1))</f>
        <v>49</v>
      </c>
      <c r="C83" s="18">
        <f t="shared" ca="1" si="9"/>
        <v>43.5</v>
      </c>
      <c r="D83" s="1">
        <f t="shared" ca="1" si="6"/>
        <v>49.333333333333336</v>
      </c>
      <c r="E83" s="1">
        <f t="shared" ca="1" si="7"/>
        <v>77.333333333333343</v>
      </c>
      <c r="F83" s="1">
        <f t="shared" ca="1" si="10"/>
        <v>19.5</v>
      </c>
      <c r="G83" s="1">
        <f t="shared" ca="1" si="11"/>
        <v>0.5</v>
      </c>
      <c r="H83" s="15">
        <f t="shared" si="8"/>
        <v>5</v>
      </c>
    </row>
    <row r="84" spans="1:8" ht="16.2" thickBot="1" x14ac:dyDescent="0.35">
      <c r="A84">
        <v>83</v>
      </c>
      <c r="B84" s="2">
        <f ca="1">AVERAGE(OFFSET('n=1'!$B$1,(ROW()-2)*$P$2+1,0,$P$2,1))</f>
        <v>48.5</v>
      </c>
      <c r="C84" s="18">
        <f t="shared" ca="1" si="9"/>
        <v>42</v>
      </c>
      <c r="D84" s="1">
        <f t="shared" ca="1" si="6"/>
        <v>49.833333333333336</v>
      </c>
      <c r="E84" s="1">
        <f t="shared" ca="1" si="7"/>
        <v>76.833333333333343</v>
      </c>
      <c r="F84" s="1">
        <f t="shared" ca="1" si="10"/>
        <v>17.5</v>
      </c>
      <c r="G84" s="1">
        <f t="shared" ca="1" si="11"/>
        <v>1.5</v>
      </c>
      <c r="H84" s="15">
        <f t="shared" si="8"/>
        <v>5</v>
      </c>
    </row>
    <row r="85" spans="1:8" ht="16.2" thickBot="1" x14ac:dyDescent="0.35">
      <c r="A85">
        <v>84</v>
      </c>
      <c r="B85" s="2">
        <f ca="1">AVERAGE(OFFSET('n=1'!$B$1,(ROW()-2)*$P$2+1,0,$P$2,1))</f>
        <v>49.5</v>
      </c>
      <c r="C85" s="18">
        <f t="shared" ca="1" si="9"/>
        <v>41.5</v>
      </c>
      <c r="D85" s="1">
        <f t="shared" ca="1" si="6"/>
        <v>50.333333333333336</v>
      </c>
      <c r="E85" s="1">
        <f t="shared" ca="1" si="7"/>
        <v>76.333333333333343</v>
      </c>
      <c r="F85" s="1">
        <f t="shared" ca="1" si="10"/>
        <v>16.5</v>
      </c>
      <c r="G85" s="1">
        <f t="shared" ca="1" si="11"/>
        <v>1.5</v>
      </c>
      <c r="H85" s="15">
        <f t="shared" si="8"/>
        <v>5</v>
      </c>
    </row>
    <row r="86" spans="1:8" ht="16.2" thickBot="1" x14ac:dyDescent="0.35">
      <c r="A86">
        <v>85</v>
      </c>
      <c r="B86" s="2">
        <f ca="1">AVERAGE(OFFSET('n=1'!$B$1,(ROW()-2)*$P$2+1,0,$P$2,1))</f>
        <v>50.5</v>
      </c>
      <c r="C86" s="18">
        <f t="shared" ca="1" si="9"/>
        <v>42</v>
      </c>
      <c r="D86" s="1">
        <f t="shared" ca="1" si="6"/>
        <v>50.833333333333336</v>
      </c>
      <c r="E86" s="1">
        <f t="shared" ca="1" si="7"/>
        <v>75.833333333333343</v>
      </c>
      <c r="F86" s="1">
        <f t="shared" ca="1" si="10"/>
        <v>16.5</v>
      </c>
      <c r="G86" s="1">
        <f t="shared" ca="1" si="11"/>
        <v>0.5</v>
      </c>
      <c r="H86" s="15">
        <f t="shared" si="8"/>
        <v>5</v>
      </c>
    </row>
    <row r="87" spans="1:8" ht="16.2" thickBot="1" x14ac:dyDescent="0.35">
      <c r="A87">
        <v>86</v>
      </c>
      <c r="B87" s="2">
        <f ca="1">AVERAGE(OFFSET('n=1'!$B$1,(ROW()-2)*$P$2+1,0,$P$2,1))</f>
        <v>50.5</v>
      </c>
      <c r="C87" s="18">
        <f t="shared" ca="1" si="9"/>
        <v>42.5</v>
      </c>
      <c r="D87" s="1">
        <f t="shared" ca="1" si="6"/>
        <v>51.333333333333336</v>
      </c>
      <c r="E87" s="1">
        <f t="shared" ca="1" si="7"/>
        <v>75.333333333333343</v>
      </c>
      <c r="F87" s="1">
        <f t="shared" ca="1" si="10"/>
        <v>16.5</v>
      </c>
      <c r="G87" s="1">
        <f t="shared" ca="1" si="11"/>
        <v>0</v>
      </c>
      <c r="H87" s="15">
        <f t="shared" si="8"/>
        <v>5</v>
      </c>
    </row>
    <row r="88" spans="1:8" ht="16.2" thickBot="1" x14ac:dyDescent="0.35">
      <c r="A88">
        <v>87</v>
      </c>
      <c r="B88" s="2">
        <f ca="1">AVERAGE(OFFSET('n=1'!$B$1,(ROW()-2)*$P$2+1,0,$P$2,1))</f>
        <v>51</v>
      </c>
      <c r="C88" s="18">
        <f t="shared" ca="1" si="9"/>
        <v>43.5</v>
      </c>
      <c r="D88" s="1">
        <f t="shared" ca="1" si="6"/>
        <v>51.833333333333336</v>
      </c>
      <c r="E88" s="1">
        <f t="shared" ca="1" si="7"/>
        <v>74.833333333333343</v>
      </c>
      <c r="F88" s="1">
        <f t="shared" ca="1" si="10"/>
        <v>17</v>
      </c>
      <c r="G88" s="1">
        <f t="shared" ca="1" si="11"/>
        <v>0</v>
      </c>
      <c r="H88" s="15">
        <f t="shared" si="8"/>
        <v>5</v>
      </c>
    </row>
    <row r="89" spans="1:8" ht="16.2" thickBot="1" x14ac:dyDescent="0.35">
      <c r="A89">
        <v>88</v>
      </c>
      <c r="B89" s="2">
        <f ca="1">AVERAGE(OFFSET('n=1'!$B$1,(ROW()-2)*$P$2+1,0,$P$2,1))</f>
        <v>51</v>
      </c>
      <c r="C89" s="18">
        <f t="shared" ca="1" si="9"/>
        <v>44.5</v>
      </c>
      <c r="D89" s="1">
        <f t="shared" ca="1" si="6"/>
        <v>52.333333333333336</v>
      </c>
      <c r="E89" s="1">
        <f t="shared" ca="1" si="7"/>
        <v>74.333333333333343</v>
      </c>
      <c r="F89" s="1">
        <f t="shared" ca="1" si="10"/>
        <v>17.5</v>
      </c>
      <c r="G89" s="1">
        <f t="shared" ca="1" si="11"/>
        <v>0</v>
      </c>
      <c r="H89" s="15">
        <f t="shared" si="8"/>
        <v>5</v>
      </c>
    </row>
    <row r="90" spans="1:8" ht="16.2" thickBot="1" x14ac:dyDescent="0.35">
      <c r="A90">
        <v>89</v>
      </c>
      <c r="B90" s="2">
        <f ca="1">AVERAGE(OFFSET('n=1'!$B$1,(ROW()-2)*$P$2+1,0,$P$2,1))</f>
        <v>51.5</v>
      </c>
      <c r="C90" s="18">
        <f t="shared" ca="1" si="9"/>
        <v>46</v>
      </c>
      <c r="D90" s="1">
        <f t="shared" ca="1" si="6"/>
        <v>52.833333333333336</v>
      </c>
      <c r="E90" s="1">
        <f t="shared" ca="1" si="7"/>
        <v>73.833333333333343</v>
      </c>
      <c r="F90" s="1">
        <f t="shared" ca="1" si="10"/>
        <v>18.5</v>
      </c>
      <c r="G90" s="1">
        <f t="shared" ca="1" si="11"/>
        <v>0</v>
      </c>
      <c r="H90" s="15">
        <f t="shared" si="8"/>
        <v>5</v>
      </c>
    </row>
    <row r="91" spans="1:8" ht="16.2" thickBot="1" x14ac:dyDescent="0.35">
      <c r="A91">
        <v>90</v>
      </c>
      <c r="B91" s="2">
        <f ca="1">AVERAGE(OFFSET('n=1'!$B$1,(ROW()-2)*$P$2+1,0,$P$2,1))</f>
        <v>52.5</v>
      </c>
      <c r="C91" s="18">
        <f t="shared" ca="1" si="9"/>
        <v>48.5</v>
      </c>
      <c r="D91" s="1">
        <f t="shared" ca="1" si="6"/>
        <v>53.333333333333336</v>
      </c>
      <c r="E91" s="1">
        <f t="shared" ca="1" si="7"/>
        <v>73.333333333333343</v>
      </c>
      <c r="F91" s="1">
        <f t="shared" ca="1" si="10"/>
        <v>20.5</v>
      </c>
      <c r="G91" s="1">
        <f t="shared" ca="1" si="11"/>
        <v>0</v>
      </c>
      <c r="H91" s="15">
        <f t="shared" si="8"/>
        <v>5</v>
      </c>
    </row>
    <row r="92" spans="1:8" ht="16.2" thickBot="1" x14ac:dyDescent="0.35">
      <c r="A92">
        <v>91</v>
      </c>
      <c r="B92" s="2">
        <f ca="1">AVERAGE(OFFSET('n=1'!$B$1,(ROW()-2)*$P$2+1,0,$P$2,1))</f>
        <v>53.25</v>
      </c>
      <c r="C92" s="18">
        <f t="shared" ca="1" si="9"/>
        <v>51.75</v>
      </c>
      <c r="D92" s="1">
        <f t="shared" ca="1" si="6"/>
        <v>53.833333333333336</v>
      </c>
      <c r="E92" s="1">
        <f t="shared" ca="1" si="7"/>
        <v>72.833333333333343</v>
      </c>
      <c r="F92" s="1">
        <f t="shared" ca="1" si="10"/>
        <v>23.25</v>
      </c>
      <c r="G92" s="1">
        <f t="shared" ca="1" si="11"/>
        <v>0</v>
      </c>
      <c r="H92" s="15">
        <f t="shared" si="8"/>
        <v>5</v>
      </c>
    </row>
    <row r="93" spans="1:8" ht="16.2" thickBot="1" x14ac:dyDescent="0.35">
      <c r="A93">
        <v>92</v>
      </c>
      <c r="B93" s="2">
        <f ca="1">AVERAGE(OFFSET('n=1'!$B$1,(ROW()-2)*$P$2+1,0,$P$2,1))</f>
        <v>53</v>
      </c>
      <c r="C93" s="18">
        <f t="shared" ca="1" si="9"/>
        <v>54.75</v>
      </c>
      <c r="D93" s="1">
        <f t="shared" ca="1" si="6"/>
        <v>54.333333333333336</v>
      </c>
      <c r="E93" s="1">
        <f t="shared" ca="1" si="7"/>
        <v>72.333333333333343</v>
      </c>
      <c r="F93" s="1">
        <f t="shared" ca="1" si="10"/>
        <v>25.75</v>
      </c>
      <c r="G93" s="1">
        <f t="shared" ca="1" si="11"/>
        <v>0</v>
      </c>
      <c r="H93" s="15">
        <f t="shared" si="8"/>
        <v>5</v>
      </c>
    </row>
    <row r="94" spans="1:8" ht="16.2" thickBot="1" x14ac:dyDescent="0.35">
      <c r="A94">
        <v>93</v>
      </c>
      <c r="B94" s="2">
        <f ca="1">AVERAGE(OFFSET('n=1'!$B$1,(ROW()-2)*$P$2+1,0,$P$2,1))</f>
        <v>54.25</v>
      </c>
      <c r="C94" s="18">
        <f t="shared" ca="1" si="9"/>
        <v>59</v>
      </c>
      <c r="D94" s="1">
        <f t="shared" ca="1" si="6"/>
        <v>54.833333333333336</v>
      </c>
      <c r="E94" s="1">
        <f t="shared" ca="1" si="7"/>
        <v>71.833333333333343</v>
      </c>
      <c r="F94" s="1">
        <f t="shared" ca="1" si="10"/>
        <v>29.5</v>
      </c>
      <c r="G94" s="1">
        <f t="shared" ca="1" si="11"/>
        <v>0</v>
      </c>
      <c r="H94" s="15">
        <f t="shared" si="8"/>
        <v>5</v>
      </c>
    </row>
    <row r="95" spans="1:8" ht="16.2" thickBot="1" x14ac:dyDescent="0.35">
      <c r="A95">
        <v>94</v>
      </c>
      <c r="B95" s="2">
        <f ca="1">AVERAGE(OFFSET('n=1'!$B$1,(ROW()-2)*$P$2+1,0,$P$2,1))</f>
        <v>51.5</v>
      </c>
      <c r="C95" s="18">
        <f t="shared" ca="1" si="9"/>
        <v>60.5</v>
      </c>
      <c r="D95" s="1">
        <f t="shared" ca="1" si="6"/>
        <v>55.333333333333336</v>
      </c>
      <c r="E95" s="1">
        <f t="shared" ca="1" si="7"/>
        <v>71.333333333333343</v>
      </c>
      <c r="F95" s="1">
        <f t="shared" ca="1" si="10"/>
        <v>30.5</v>
      </c>
      <c r="G95" s="1">
        <f t="shared" ca="1" si="11"/>
        <v>0</v>
      </c>
      <c r="H95" s="15">
        <f t="shared" si="8"/>
        <v>5</v>
      </c>
    </row>
    <row r="96" spans="1:8" ht="16.2" thickBot="1" x14ac:dyDescent="0.35">
      <c r="A96">
        <v>95</v>
      </c>
      <c r="B96" s="2">
        <f ca="1">AVERAGE(OFFSET('n=1'!$B$1,(ROW()-2)*$P$2+1,0,$P$2,1))</f>
        <v>50.75</v>
      </c>
      <c r="C96" s="18">
        <f t="shared" ca="1" si="9"/>
        <v>61.25</v>
      </c>
      <c r="D96" s="1">
        <f t="shared" ca="1" si="6"/>
        <v>55.833333333333336</v>
      </c>
      <c r="E96" s="1">
        <f t="shared" ca="1" si="7"/>
        <v>70.833333333333343</v>
      </c>
      <c r="F96" s="1">
        <f t="shared" ca="1" si="10"/>
        <v>30.75</v>
      </c>
      <c r="G96" s="1">
        <f t="shared" ca="1" si="11"/>
        <v>0</v>
      </c>
      <c r="H96" s="15">
        <f t="shared" si="8"/>
        <v>5</v>
      </c>
    </row>
    <row r="97" spans="1:8" ht="16.2" thickBot="1" x14ac:dyDescent="0.35">
      <c r="A97">
        <v>96</v>
      </c>
      <c r="B97" s="2">
        <f ca="1">AVERAGE(OFFSET('n=1'!$B$1,(ROW()-2)*$P$2+1,0,$P$2,1))</f>
        <v>51.5</v>
      </c>
      <c r="C97" s="18">
        <f t="shared" ca="1" si="9"/>
        <v>62.75</v>
      </c>
      <c r="D97" s="1">
        <f t="shared" ca="1" si="6"/>
        <v>56.333333333333336</v>
      </c>
      <c r="E97" s="1">
        <f t="shared" ca="1" si="7"/>
        <v>70.333333333333343</v>
      </c>
      <c r="F97" s="1">
        <f t="shared" ca="1" si="10"/>
        <v>31.75</v>
      </c>
      <c r="G97" s="1">
        <f t="shared" ca="1" si="11"/>
        <v>0</v>
      </c>
      <c r="H97" s="15">
        <f t="shared" si="8"/>
        <v>5</v>
      </c>
    </row>
    <row r="98" spans="1:8" ht="16.2" thickBot="1" x14ac:dyDescent="0.35">
      <c r="A98">
        <v>97</v>
      </c>
      <c r="B98" s="2">
        <f ca="1">AVERAGE(OFFSET('n=1'!$B$1,(ROW()-2)*$P$2+1,0,$P$2,1))</f>
        <v>49.25</v>
      </c>
      <c r="C98" s="18">
        <f t="shared" ca="1" si="9"/>
        <v>62</v>
      </c>
      <c r="D98" s="1">
        <f t="shared" ca="1" si="6"/>
        <v>56.833333333333336</v>
      </c>
      <c r="E98" s="1">
        <f t="shared" ca="1" si="7"/>
        <v>69.833333333333343</v>
      </c>
      <c r="F98" s="1">
        <f t="shared" ca="1" si="10"/>
        <v>30.5</v>
      </c>
      <c r="G98" s="1">
        <f t="shared" ca="1" si="11"/>
        <v>0.25</v>
      </c>
      <c r="H98" s="15">
        <f t="shared" si="8"/>
        <v>5</v>
      </c>
    </row>
    <row r="99" spans="1:8" ht="16.2" thickBot="1" x14ac:dyDescent="0.35">
      <c r="A99">
        <v>98</v>
      </c>
      <c r="B99" s="2">
        <f ca="1">AVERAGE(OFFSET('n=1'!$B$1,(ROW()-2)*$P$2+1,0,$P$2,1))</f>
        <v>50.75</v>
      </c>
      <c r="C99" s="18">
        <f t="shared" ca="1" si="9"/>
        <v>62.75</v>
      </c>
      <c r="D99" s="1">
        <f t="shared" ca="1" si="6"/>
        <v>57.333333333333336</v>
      </c>
      <c r="E99" s="1">
        <f t="shared" ca="1" si="7"/>
        <v>69.333333333333343</v>
      </c>
      <c r="F99" s="1">
        <f t="shared" ca="1" si="10"/>
        <v>30.75</v>
      </c>
      <c r="G99" s="1">
        <f t="shared" ca="1" si="11"/>
        <v>0</v>
      </c>
      <c r="H99" s="15">
        <f t="shared" si="8"/>
        <v>5</v>
      </c>
    </row>
    <row r="100" spans="1:8" ht="16.2" thickBot="1" x14ac:dyDescent="0.35">
      <c r="A100">
        <v>99</v>
      </c>
      <c r="B100" s="2">
        <f ca="1">AVERAGE(OFFSET('n=1'!$B$1,(ROW()-2)*$P$2+1,0,$P$2,1))</f>
        <v>52.25</v>
      </c>
      <c r="C100" s="18">
        <f t="shared" ca="1" si="9"/>
        <v>65</v>
      </c>
      <c r="D100" s="1">
        <f ca="1">D101-$M$2</f>
        <v>57.833333333333336</v>
      </c>
      <c r="E100" s="1">
        <f ca="1">E101+$M$2</f>
        <v>68.833333333333343</v>
      </c>
      <c r="F100" s="1">
        <f t="shared" ca="1" si="10"/>
        <v>32.5</v>
      </c>
      <c r="G100" s="1">
        <f t="shared" ca="1" si="11"/>
        <v>0</v>
      </c>
      <c r="H100" s="15">
        <f t="shared" si="8"/>
        <v>5</v>
      </c>
    </row>
    <row r="101" spans="1:8" ht="16.2" thickBot="1" x14ac:dyDescent="0.35">
      <c r="A101">
        <v>100</v>
      </c>
      <c r="B101" s="2">
        <f ca="1">AVERAGE(OFFSET('n=1'!$B$1,(ROW()-2)*$P$2+1,0,$P$2,1))</f>
        <v>48.333333333333336</v>
      </c>
      <c r="C101" s="18">
        <f t="shared" ca="1" si="9"/>
        <v>63.333333333333336</v>
      </c>
      <c r="D101" s="4">
        <f ca="1">C101-$O$2</f>
        <v>58.333333333333336</v>
      </c>
      <c r="E101" s="4">
        <f ca="1">C101+$O$2</f>
        <v>68.333333333333343</v>
      </c>
      <c r="F101" s="1">
        <f t="shared" ca="1" si="10"/>
        <v>30.333333333333336</v>
      </c>
      <c r="G101" s="1">
        <f t="shared" ca="1" si="11"/>
        <v>1.1666666666666643</v>
      </c>
      <c r="H101" s="15">
        <f t="shared" si="8"/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027B-F68E-D54F-B2F7-B49731BEDC9B}">
  <dimension ref="A1:P51"/>
  <sheetViews>
    <sheetView topLeftCell="A3" zoomScale="69" workbookViewId="0">
      <selection activeCell="J22" sqref="J22"/>
    </sheetView>
  </sheetViews>
  <sheetFormatPr baseColWidth="10" defaultRowHeight="15.6" x14ac:dyDescent="0.3"/>
  <sheetData>
    <row r="1" spans="1:16" ht="18.600000000000001" customHeight="1" thickBot="1" x14ac:dyDescent="0.35">
      <c r="A1" s="11" t="s">
        <v>1</v>
      </c>
      <c r="B1" s="12" t="s">
        <v>2</v>
      </c>
      <c r="C1" s="17" t="s">
        <v>4</v>
      </c>
      <c r="D1" s="11" t="s">
        <v>16</v>
      </c>
      <c r="E1" s="12" t="s">
        <v>17</v>
      </c>
      <c r="F1" s="11" t="s">
        <v>5</v>
      </c>
      <c r="G1" s="12" t="s">
        <v>6</v>
      </c>
      <c r="H1" s="17" t="s">
        <v>18</v>
      </c>
      <c r="I1" s="11" t="s">
        <v>7</v>
      </c>
      <c r="J1" s="12" t="s">
        <v>8</v>
      </c>
      <c r="L1" s="17" t="s">
        <v>13</v>
      </c>
      <c r="M1" s="17" t="s">
        <v>10</v>
      </c>
      <c r="N1" s="17" t="s">
        <v>15</v>
      </c>
      <c r="O1" s="17" t="s">
        <v>14</v>
      </c>
      <c r="P1" s="17" t="s">
        <v>3</v>
      </c>
    </row>
    <row r="2" spans="1:16" ht="16.2" thickBot="1" x14ac:dyDescent="0.35">
      <c r="A2" s="1">
        <v>1</v>
      </c>
      <c r="B2" s="2">
        <f ca="1">AVERAGE(OFFSET('n=1'!$B$1,(ROW()-2)*$P$2+1,0,$P$2,1))</f>
        <v>50.625</v>
      </c>
      <c r="C2" s="15">
        <f ca="1">B2-L2</f>
        <v>0.625</v>
      </c>
      <c r="D2" s="1">
        <f t="shared" ref="D2:D49" ca="1" si="0">D3-$M$2</f>
        <v>2.4464285714285694</v>
      </c>
      <c r="E2" s="1">
        <f t="shared" ref="E2:E49" ca="1" si="1">E3+$M$2</f>
        <v>61.446428571428569</v>
      </c>
      <c r="F2" s="13">
        <f ca="1">MAX(0,B2-L2-M2)</f>
        <v>0.125</v>
      </c>
      <c r="G2" s="13">
        <f ca="1">MAX(0,B2-L2-M2)</f>
        <v>0.125</v>
      </c>
      <c r="H2" s="15">
        <f>$O$2</f>
        <v>5</v>
      </c>
      <c r="I2" s="13"/>
      <c r="J2" s="14"/>
      <c r="L2" s="17">
        <v>50</v>
      </c>
      <c r="M2" s="16">
        <f>1/2</f>
        <v>0.5</v>
      </c>
      <c r="N2" s="16">
        <v>1</v>
      </c>
      <c r="O2" s="16">
        <f>N2*5</f>
        <v>5</v>
      </c>
      <c r="P2" s="16">
        <v>8</v>
      </c>
    </row>
    <row r="3" spans="1:16" ht="16.2" thickBot="1" x14ac:dyDescent="0.35">
      <c r="A3" s="1">
        <v>2</v>
      </c>
      <c r="B3" s="2">
        <f ca="1">AVERAGE(OFFSET('n=1'!$B$1,(ROW()-2)*$P$2+1,0,$P$2,1))</f>
        <v>51.25</v>
      </c>
      <c r="C3" s="18">
        <f ca="1">B3-$L$2+C2</f>
        <v>1.875</v>
      </c>
      <c r="D3" s="1">
        <f t="shared" ca="1" si="0"/>
        <v>2.9464285714285694</v>
      </c>
      <c r="E3" s="1">
        <f t="shared" ca="1" si="1"/>
        <v>60.946428571428569</v>
      </c>
      <c r="F3" s="1">
        <f ca="1">MAX(0,B3-$L$2-$M$2+F2)</f>
        <v>0.875</v>
      </c>
      <c r="G3" s="1">
        <f ca="1">MAX(0,$L$2-B3-$M$2+G2)</f>
        <v>0</v>
      </c>
      <c r="H3" s="15">
        <f t="shared" ref="H3:H51" si="2">$O$2</f>
        <v>5</v>
      </c>
      <c r="I3" s="1"/>
      <c r="J3" s="2"/>
    </row>
    <row r="4" spans="1:16" ht="16.2" thickBot="1" x14ac:dyDescent="0.35">
      <c r="A4">
        <v>3</v>
      </c>
      <c r="B4" s="2">
        <f ca="1">AVERAGE(OFFSET('n=1'!$B$1,(ROW()-2)*$P$2+1,0,$P$2,1))</f>
        <v>50.875</v>
      </c>
      <c r="C4" s="18">
        <f t="shared" ref="C4:C51" ca="1" si="3">B4-$L$2+C3</f>
        <v>2.75</v>
      </c>
      <c r="D4" s="1">
        <f t="shared" ca="1" si="0"/>
        <v>3.4464285714285694</v>
      </c>
      <c r="E4" s="1">
        <f t="shared" ca="1" si="1"/>
        <v>60.446428571428569</v>
      </c>
      <c r="F4" s="1">
        <f t="shared" ref="F4:F51" ca="1" si="4">MAX(0,B4-$L$2-$M$2+F3)</f>
        <v>1.25</v>
      </c>
      <c r="G4" s="1">
        <f t="shared" ref="G4:G51" ca="1" si="5">MAX(0,$L$2-B4-$M$2+G3)</f>
        <v>0</v>
      </c>
      <c r="H4" s="15">
        <f t="shared" si="2"/>
        <v>5</v>
      </c>
    </row>
    <row r="5" spans="1:16" ht="16.2" thickBot="1" x14ac:dyDescent="0.35">
      <c r="A5">
        <v>4</v>
      </c>
      <c r="B5" s="2">
        <f ca="1">AVERAGE(OFFSET('n=1'!$B$1,(ROW()-2)*$P$2+1,0,$P$2,1))</f>
        <v>48.5</v>
      </c>
      <c r="C5" s="18">
        <f t="shared" ca="1" si="3"/>
        <v>1.25</v>
      </c>
      <c r="D5" s="1">
        <f t="shared" ca="1" si="0"/>
        <v>3.9464285714285694</v>
      </c>
      <c r="E5" s="1">
        <f t="shared" ca="1" si="1"/>
        <v>59.946428571428569</v>
      </c>
      <c r="F5" s="1">
        <f t="shared" ca="1" si="4"/>
        <v>0</v>
      </c>
      <c r="G5" s="1">
        <f t="shared" ca="1" si="5"/>
        <v>1</v>
      </c>
      <c r="H5" s="15">
        <f t="shared" si="2"/>
        <v>5</v>
      </c>
    </row>
    <row r="6" spans="1:16" ht="16.2" thickBot="1" x14ac:dyDescent="0.35">
      <c r="A6">
        <v>5</v>
      </c>
      <c r="B6" s="2">
        <f ca="1">AVERAGE(OFFSET('n=1'!$B$1,(ROW()-2)*$P$2+1,0,$P$2,1))</f>
        <v>49.625</v>
      </c>
      <c r="C6" s="18">
        <f t="shared" ca="1" si="3"/>
        <v>0.875</v>
      </c>
      <c r="D6" s="1">
        <f t="shared" ca="1" si="0"/>
        <v>4.4464285714285694</v>
      </c>
      <c r="E6" s="1">
        <f t="shared" ca="1" si="1"/>
        <v>59.446428571428569</v>
      </c>
      <c r="F6" s="1">
        <f t="shared" ca="1" si="4"/>
        <v>0</v>
      </c>
      <c r="G6" s="1">
        <f t="shared" ca="1" si="5"/>
        <v>0.875</v>
      </c>
      <c r="H6" s="15">
        <f t="shared" si="2"/>
        <v>5</v>
      </c>
    </row>
    <row r="7" spans="1:16" ht="16.2" thickBot="1" x14ac:dyDescent="0.35">
      <c r="A7">
        <v>6</v>
      </c>
      <c r="B7" s="2">
        <f ca="1">AVERAGE(OFFSET('n=1'!$B$1,(ROW()-2)*$P$2+1,0,$P$2,1))</f>
        <v>49.375</v>
      </c>
      <c r="C7" s="18">
        <f t="shared" ca="1" si="3"/>
        <v>0.25</v>
      </c>
      <c r="D7" s="1">
        <f t="shared" ca="1" si="0"/>
        <v>4.9464285714285694</v>
      </c>
      <c r="E7" s="1">
        <f t="shared" ca="1" si="1"/>
        <v>58.946428571428569</v>
      </c>
      <c r="F7" s="1">
        <f t="shared" ca="1" si="4"/>
        <v>0</v>
      </c>
      <c r="G7" s="1">
        <f t="shared" ca="1" si="5"/>
        <v>1</v>
      </c>
      <c r="H7" s="15">
        <f t="shared" si="2"/>
        <v>5</v>
      </c>
    </row>
    <row r="8" spans="1:16" ht="16.2" thickBot="1" x14ac:dyDescent="0.35">
      <c r="A8">
        <v>7</v>
      </c>
      <c r="B8" s="2">
        <f ca="1">AVERAGE(OFFSET('n=1'!$B$1,(ROW()-2)*$P$2+1,0,$P$2,1))</f>
        <v>51.875</v>
      </c>
      <c r="C8" s="18">
        <f t="shared" ca="1" si="3"/>
        <v>2.125</v>
      </c>
      <c r="D8" s="1">
        <f t="shared" ca="1" si="0"/>
        <v>5.4464285714285694</v>
      </c>
      <c r="E8" s="1">
        <f t="shared" ca="1" si="1"/>
        <v>58.446428571428569</v>
      </c>
      <c r="F8" s="1">
        <f t="shared" ca="1" si="4"/>
        <v>1.375</v>
      </c>
      <c r="G8" s="1">
        <f t="shared" ca="1" si="5"/>
        <v>0</v>
      </c>
      <c r="H8" s="15">
        <f t="shared" si="2"/>
        <v>5</v>
      </c>
    </row>
    <row r="9" spans="1:16" ht="16.2" thickBot="1" x14ac:dyDescent="0.35">
      <c r="A9">
        <v>8</v>
      </c>
      <c r="B9" s="2">
        <f ca="1">AVERAGE(OFFSET('n=1'!$B$1,(ROW()-2)*$P$2+1,0,$P$2,1))</f>
        <v>50.75</v>
      </c>
      <c r="C9" s="18">
        <f t="shared" ca="1" si="3"/>
        <v>2.875</v>
      </c>
      <c r="D9" s="1">
        <f t="shared" ca="1" si="0"/>
        <v>5.9464285714285694</v>
      </c>
      <c r="E9" s="1">
        <f t="shared" ca="1" si="1"/>
        <v>57.946428571428569</v>
      </c>
      <c r="F9" s="1">
        <f t="shared" ca="1" si="4"/>
        <v>1.625</v>
      </c>
      <c r="G9" s="1">
        <f t="shared" ca="1" si="5"/>
        <v>0</v>
      </c>
      <c r="H9" s="15">
        <f t="shared" si="2"/>
        <v>5</v>
      </c>
    </row>
    <row r="10" spans="1:16" ht="16.2" thickBot="1" x14ac:dyDescent="0.35">
      <c r="A10">
        <v>9</v>
      </c>
      <c r="B10" s="2">
        <f ca="1">AVERAGE(OFFSET('n=1'!$B$1,(ROW()-2)*$P$2+1,0,$P$2,1))</f>
        <v>49.125</v>
      </c>
      <c r="C10" s="18">
        <f t="shared" ca="1" si="3"/>
        <v>2</v>
      </c>
      <c r="D10" s="1">
        <f t="shared" ca="1" si="0"/>
        <v>6.4464285714285694</v>
      </c>
      <c r="E10" s="1">
        <f t="shared" ca="1" si="1"/>
        <v>57.446428571428569</v>
      </c>
      <c r="F10" s="1">
        <f t="shared" ca="1" si="4"/>
        <v>0.25</v>
      </c>
      <c r="G10" s="1">
        <f t="shared" ca="1" si="5"/>
        <v>0.375</v>
      </c>
      <c r="H10" s="15">
        <f t="shared" si="2"/>
        <v>5</v>
      </c>
    </row>
    <row r="11" spans="1:16" ht="16.2" thickBot="1" x14ac:dyDescent="0.35">
      <c r="A11">
        <v>10</v>
      </c>
      <c r="B11" s="2">
        <f ca="1">AVERAGE(OFFSET('n=1'!$B$1,(ROW()-2)*$P$2+1,0,$P$2,1))</f>
        <v>50</v>
      </c>
      <c r="C11" s="18">
        <f t="shared" ca="1" si="3"/>
        <v>2</v>
      </c>
      <c r="D11" s="1">
        <f t="shared" ca="1" si="0"/>
        <v>6.9464285714285694</v>
      </c>
      <c r="E11" s="1">
        <f t="shared" ca="1" si="1"/>
        <v>56.946428571428569</v>
      </c>
      <c r="F11" s="1">
        <f t="shared" ca="1" si="4"/>
        <v>0</v>
      </c>
      <c r="G11" s="1">
        <f t="shared" ca="1" si="5"/>
        <v>0</v>
      </c>
      <c r="H11" s="15">
        <f t="shared" si="2"/>
        <v>5</v>
      </c>
    </row>
    <row r="12" spans="1:16" ht="16.2" thickBot="1" x14ac:dyDescent="0.35">
      <c r="A12">
        <v>11</v>
      </c>
      <c r="B12" s="2">
        <f ca="1">AVERAGE(OFFSET('n=1'!$B$1,(ROW()-2)*$P$2+1,0,$P$2,1))</f>
        <v>49.25</v>
      </c>
      <c r="C12" s="18">
        <f t="shared" ca="1" si="3"/>
        <v>1.25</v>
      </c>
      <c r="D12" s="1">
        <f t="shared" ca="1" si="0"/>
        <v>7.4464285714285694</v>
      </c>
      <c r="E12" s="1">
        <f t="shared" ca="1" si="1"/>
        <v>56.446428571428569</v>
      </c>
      <c r="F12" s="1">
        <f t="shared" ca="1" si="4"/>
        <v>0</v>
      </c>
      <c r="G12" s="1">
        <f t="shared" ca="1" si="5"/>
        <v>0.25</v>
      </c>
      <c r="H12" s="15">
        <f t="shared" si="2"/>
        <v>5</v>
      </c>
    </row>
    <row r="13" spans="1:16" ht="16.2" thickBot="1" x14ac:dyDescent="0.35">
      <c r="A13">
        <v>12</v>
      </c>
      <c r="B13" s="2">
        <f ca="1">AVERAGE(OFFSET('n=1'!$B$1,(ROW()-2)*$P$2+1,0,$P$2,1))</f>
        <v>51.25</v>
      </c>
      <c r="C13" s="18">
        <f t="shared" ca="1" si="3"/>
        <v>2.5</v>
      </c>
      <c r="D13" s="1">
        <f t="shared" ca="1" si="0"/>
        <v>7.9464285714285694</v>
      </c>
      <c r="E13" s="1">
        <f t="shared" ca="1" si="1"/>
        <v>55.946428571428569</v>
      </c>
      <c r="F13" s="1">
        <f t="shared" ca="1" si="4"/>
        <v>0.75</v>
      </c>
      <c r="G13" s="1">
        <f t="shared" ca="1" si="5"/>
        <v>0</v>
      </c>
      <c r="H13" s="15">
        <f t="shared" si="2"/>
        <v>5</v>
      </c>
    </row>
    <row r="14" spans="1:16" ht="16.2" thickBot="1" x14ac:dyDescent="0.35">
      <c r="A14">
        <v>13</v>
      </c>
      <c r="B14" s="2">
        <f ca="1">AVERAGE(OFFSET('n=1'!$B$1,(ROW()-2)*$P$2+1,0,$P$2,1))</f>
        <v>50.25</v>
      </c>
      <c r="C14" s="18">
        <f t="shared" ca="1" si="3"/>
        <v>2.75</v>
      </c>
      <c r="D14" s="1">
        <f t="shared" ca="1" si="0"/>
        <v>8.4464285714285694</v>
      </c>
      <c r="E14" s="1">
        <f t="shared" ca="1" si="1"/>
        <v>55.446428571428569</v>
      </c>
      <c r="F14" s="1">
        <f t="shared" ca="1" si="4"/>
        <v>0.5</v>
      </c>
      <c r="G14" s="1">
        <f t="shared" ca="1" si="5"/>
        <v>0</v>
      </c>
      <c r="H14" s="15">
        <f t="shared" si="2"/>
        <v>5</v>
      </c>
    </row>
    <row r="15" spans="1:16" ht="16.2" thickBot="1" x14ac:dyDescent="0.35">
      <c r="A15">
        <v>14</v>
      </c>
      <c r="B15" s="2">
        <f ca="1">AVERAGE(OFFSET('n=1'!$B$1,(ROW()-2)*$P$2+1,0,$P$2,1))</f>
        <v>49.125</v>
      </c>
      <c r="C15" s="18">
        <f t="shared" ca="1" si="3"/>
        <v>1.875</v>
      </c>
      <c r="D15" s="1">
        <f t="shared" ca="1" si="0"/>
        <v>8.9464285714285694</v>
      </c>
      <c r="E15" s="1">
        <f t="shared" ca="1" si="1"/>
        <v>54.946428571428569</v>
      </c>
      <c r="F15" s="1">
        <f t="shared" ca="1" si="4"/>
        <v>0</v>
      </c>
      <c r="G15" s="1">
        <f t="shared" ca="1" si="5"/>
        <v>0.375</v>
      </c>
      <c r="H15" s="15">
        <f t="shared" si="2"/>
        <v>5</v>
      </c>
    </row>
    <row r="16" spans="1:16" ht="16.2" thickBot="1" x14ac:dyDescent="0.35">
      <c r="A16">
        <v>15</v>
      </c>
      <c r="B16" s="2">
        <f ca="1">AVERAGE(OFFSET('n=1'!$B$1,(ROW()-2)*$P$2+1,0,$P$2,1))</f>
        <v>51</v>
      </c>
      <c r="C16" s="18">
        <f t="shared" ca="1" si="3"/>
        <v>2.875</v>
      </c>
      <c r="D16" s="1">
        <f t="shared" ca="1" si="0"/>
        <v>9.4464285714285694</v>
      </c>
      <c r="E16" s="1">
        <f t="shared" ca="1" si="1"/>
        <v>54.446428571428569</v>
      </c>
      <c r="F16" s="1">
        <f t="shared" ca="1" si="4"/>
        <v>0.5</v>
      </c>
      <c r="G16" s="1">
        <f t="shared" ca="1" si="5"/>
        <v>0</v>
      </c>
      <c r="H16" s="15">
        <f t="shared" si="2"/>
        <v>5</v>
      </c>
    </row>
    <row r="17" spans="1:8" ht="16.2" thickBot="1" x14ac:dyDescent="0.35">
      <c r="A17">
        <v>16</v>
      </c>
      <c r="B17" s="2">
        <f ca="1">AVERAGE(OFFSET('n=1'!$B$1,(ROW()-2)*$P$2+1,0,$P$2,1))</f>
        <v>51.125</v>
      </c>
      <c r="C17" s="18">
        <f t="shared" ca="1" si="3"/>
        <v>4</v>
      </c>
      <c r="D17" s="1">
        <f t="shared" ca="1" si="0"/>
        <v>9.9464285714285694</v>
      </c>
      <c r="E17" s="1">
        <f t="shared" ca="1" si="1"/>
        <v>53.946428571428569</v>
      </c>
      <c r="F17" s="1">
        <f t="shared" ca="1" si="4"/>
        <v>1.125</v>
      </c>
      <c r="G17" s="1">
        <f t="shared" ca="1" si="5"/>
        <v>0</v>
      </c>
      <c r="H17" s="15">
        <f t="shared" si="2"/>
        <v>5</v>
      </c>
    </row>
    <row r="18" spans="1:8" ht="16.2" thickBot="1" x14ac:dyDescent="0.35">
      <c r="A18">
        <v>17</v>
      </c>
      <c r="B18" s="2">
        <f ca="1">AVERAGE(OFFSET('n=1'!$B$1,(ROW()-2)*$P$2+1,0,$P$2,1))</f>
        <v>49.125</v>
      </c>
      <c r="C18" s="18">
        <f t="shared" ca="1" si="3"/>
        <v>3.125</v>
      </c>
      <c r="D18" s="1">
        <f t="shared" ca="1" si="0"/>
        <v>10.446428571428569</v>
      </c>
      <c r="E18" s="1">
        <f t="shared" ca="1" si="1"/>
        <v>53.446428571428569</v>
      </c>
      <c r="F18" s="1">
        <f t="shared" ca="1" si="4"/>
        <v>0</v>
      </c>
      <c r="G18" s="1">
        <f t="shared" ca="1" si="5"/>
        <v>0.375</v>
      </c>
      <c r="H18" s="15">
        <f t="shared" si="2"/>
        <v>5</v>
      </c>
    </row>
    <row r="19" spans="1:8" ht="16.2" thickBot="1" x14ac:dyDescent="0.35">
      <c r="A19">
        <v>18</v>
      </c>
      <c r="B19" s="2">
        <f ca="1">AVERAGE(OFFSET('n=1'!$B$1,(ROW()-2)*$P$2+1,0,$P$2,1))</f>
        <v>50.25</v>
      </c>
      <c r="C19" s="18">
        <f t="shared" ca="1" si="3"/>
        <v>3.375</v>
      </c>
      <c r="D19" s="1">
        <f t="shared" ca="1" si="0"/>
        <v>10.946428571428569</v>
      </c>
      <c r="E19" s="1">
        <f t="shared" ca="1" si="1"/>
        <v>52.946428571428569</v>
      </c>
      <c r="F19" s="1">
        <f t="shared" ca="1" si="4"/>
        <v>0</v>
      </c>
      <c r="G19" s="1">
        <f t="shared" ca="1" si="5"/>
        <v>0</v>
      </c>
      <c r="H19" s="15">
        <f t="shared" si="2"/>
        <v>5</v>
      </c>
    </row>
    <row r="20" spans="1:8" ht="16.2" thickBot="1" x14ac:dyDescent="0.35">
      <c r="A20">
        <v>19</v>
      </c>
      <c r="B20" s="2">
        <f ca="1">AVERAGE(OFFSET('n=1'!$B$1,(ROW()-2)*$P$2+1,0,$P$2,1))</f>
        <v>49.375</v>
      </c>
      <c r="C20" s="18">
        <f t="shared" ca="1" si="3"/>
        <v>2.75</v>
      </c>
      <c r="D20" s="1">
        <f t="shared" ca="1" si="0"/>
        <v>11.446428571428569</v>
      </c>
      <c r="E20" s="1">
        <f t="shared" ca="1" si="1"/>
        <v>52.446428571428569</v>
      </c>
      <c r="F20" s="1">
        <f t="shared" ca="1" si="4"/>
        <v>0</v>
      </c>
      <c r="G20" s="1">
        <f t="shared" ca="1" si="5"/>
        <v>0.125</v>
      </c>
      <c r="H20" s="15">
        <f t="shared" si="2"/>
        <v>5</v>
      </c>
    </row>
    <row r="21" spans="1:8" ht="16.2" thickBot="1" x14ac:dyDescent="0.35">
      <c r="A21">
        <v>20</v>
      </c>
      <c r="B21" s="2">
        <f ca="1">AVERAGE(OFFSET('n=1'!$B$1,(ROW()-2)*$P$2+1,0,$P$2,1))</f>
        <v>49</v>
      </c>
      <c r="C21" s="18">
        <f t="shared" ca="1" si="3"/>
        <v>1.75</v>
      </c>
      <c r="D21" s="1">
        <f t="shared" ca="1" si="0"/>
        <v>11.946428571428569</v>
      </c>
      <c r="E21" s="1">
        <f t="shared" ca="1" si="1"/>
        <v>51.946428571428569</v>
      </c>
      <c r="F21" s="1">
        <f t="shared" ca="1" si="4"/>
        <v>0</v>
      </c>
      <c r="G21" s="1">
        <f t="shared" ca="1" si="5"/>
        <v>0.625</v>
      </c>
      <c r="H21" s="15">
        <f t="shared" si="2"/>
        <v>5</v>
      </c>
    </row>
    <row r="22" spans="1:8" ht="16.2" thickBot="1" x14ac:dyDescent="0.35">
      <c r="A22">
        <v>21</v>
      </c>
      <c r="B22" s="2">
        <f ca="1">AVERAGE(OFFSET('n=1'!$B$1,(ROW()-2)*$P$2+1,0,$P$2,1))</f>
        <v>51.75</v>
      </c>
      <c r="C22" s="18">
        <f t="shared" ca="1" si="3"/>
        <v>3.5</v>
      </c>
      <c r="D22" s="1">
        <f t="shared" ca="1" si="0"/>
        <v>12.446428571428569</v>
      </c>
      <c r="E22" s="1">
        <f t="shared" ca="1" si="1"/>
        <v>51.446428571428569</v>
      </c>
      <c r="F22" s="1">
        <f t="shared" ca="1" si="4"/>
        <v>1.25</v>
      </c>
      <c r="G22" s="1">
        <f t="shared" ca="1" si="5"/>
        <v>0</v>
      </c>
      <c r="H22" s="15">
        <f t="shared" si="2"/>
        <v>5</v>
      </c>
    </row>
    <row r="23" spans="1:8" ht="16.2" thickBot="1" x14ac:dyDescent="0.35">
      <c r="A23">
        <v>22</v>
      </c>
      <c r="B23" s="2">
        <f ca="1">AVERAGE(OFFSET('n=1'!$B$1,(ROW()-2)*$P$2+1,0,$P$2,1))</f>
        <v>50.875</v>
      </c>
      <c r="C23" s="18">
        <f t="shared" ca="1" si="3"/>
        <v>4.375</v>
      </c>
      <c r="D23" s="1">
        <f t="shared" ca="1" si="0"/>
        <v>12.946428571428569</v>
      </c>
      <c r="E23" s="1">
        <f t="shared" ca="1" si="1"/>
        <v>50.946428571428569</v>
      </c>
      <c r="F23" s="1">
        <f t="shared" ca="1" si="4"/>
        <v>1.625</v>
      </c>
      <c r="G23" s="1">
        <f t="shared" ca="1" si="5"/>
        <v>0</v>
      </c>
      <c r="H23" s="15">
        <f t="shared" si="2"/>
        <v>5</v>
      </c>
    </row>
    <row r="24" spans="1:8" ht="16.2" thickBot="1" x14ac:dyDescent="0.35">
      <c r="A24">
        <v>23</v>
      </c>
      <c r="B24" s="2">
        <f ca="1">AVERAGE(OFFSET('n=1'!$B$1,(ROW()-2)*$P$2+1,0,$P$2,1))</f>
        <v>49</v>
      </c>
      <c r="C24" s="18">
        <f t="shared" ca="1" si="3"/>
        <v>3.375</v>
      </c>
      <c r="D24" s="1">
        <f t="shared" ca="1" si="0"/>
        <v>13.446428571428569</v>
      </c>
      <c r="E24" s="1">
        <f t="shared" ca="1" si="1"/>
        <v>50.446428571428569</v>
      </c>
      <c r="F24" s="1">
        <f t="shared" ca="1" si="4"/>
        <v>0.125</v>
      </c>
      <c r="G24" s="1">
        <f t="shared" ca="1" si="5"/>
        <v>0.5</v>
      </c>
      <c r="H24" s="15">
        <f t="shared" si="2"/>
        <v>5</v>
      </c>
    </row>
    <row r="25" spans="1:8" ht="16.2" thickBot="1" x14ac:dyDescent="0.35">
      <c r="A25">
        <v>24</v>
      </c>
      <c r="B25" s="2">
        <f ca="1">AVERAGE(OFFSET('n=1'!$B$1,(ROW()-2)*$P$2+1,0,$P$2,1))</f>
        <v>51</v>
      </c>
      <c r="C25" s="18">
        <f t="shared" ca="1" si="3"/>
        <v>4.375</v>
      </c>
      <c r="D25" s="1">
        <f t="shared" ca="1" si="0"/>
        <v>13.946428571428569</v>
      </c>
      <c r="E25" s="1">
        <f t="shared" ca="1" si="1"/>
        <v>49.946428571428569</v>
      </c>
      <c r="F25" s="1">
        <f t="shared" ca="1" si="4"/>
        <v>0.625</v>
      </c>
      <c r="G25" s="1">
        <f t="shared" ca="1" si="5"/>
        <v>0</v>
      </c>
      <c r="H25" s="15">
        <f t="shared" si="2"/>
        <v>5</v>
      </c>
    </row>
    <row r="26" spans="1:8" ht="16.2" thickBot="1" x14ac:dyDescent="0.35">
      <c r="A26">
        <v>25</v>
      </c>
      <c r="B26" s="2">
        <f ca="1">AVERAGE(OFFSET('n=1'!$B$1,(ROW()-2)*$P$2+1,0,$P$2,1))</f>
        <v>50.5</v>
      </c>
      <c r="C26" s="18">
        <f t="shared" ca="1" si="3"/>
        <v>4.875</v>
      </c>
      <c r="D26" s="1">
        <f t="shared" ca="1" si="0"/>
        <v>14.446428571428569</v>
      </c>
      <c r="E26" s="1">
        <f t="shared" ca="1" si="1"/>
        <v>49.446428571428569</v>
      </c>
      <c r="F26" s="1">
        <f t="shared" ca="1" si="4"/>
        <v>0.625</v>
      </c>
      <c r="G26" s="1">
        <f t="shared" ca="1" si="5"/>
        <v>0</v>
      </c>
      <c r="H26" s="15">
        <f t="shared" si="2"/>
        <v>5</v>
      </c>
    </row>
    <row r="27" spans="1:8" ht="16.2" thickBot="1" x14ac:dyDescent="0.35">
      <c r="A27">
        <v>26</v>
      </c>
      <c r="B27" s="2">
        <f ca="1">AVERAGE(OFFSET('n=1'!$B$1,(ROW()-2)*$P$2+1,0,$P$2,1))</f>
        <v>51.375</v>
      </c>
      <c r="C27" s="18">
        <f t="shared" ca="1" si="3"/>
        <v>6.25</v>
      </c>
      <c r="D27" s="1">
        <f t="shared" ca="1" si="0"/>
        <v>14.946428571428569</v>
      </c>
      <c r="E27" s="1">
        <f t="shared" ca="1" si="1"/>
        <v>48.946428571428569</v>
      </c>
      <c r="F27" s="1">
        <f t="shared" ca="1" si="4"/>
        <v>1.5</v>
      </c>
      <c r="G27" s="1">
        <f t="shared" ca="1" si="5"/>
        <v>0</v>
      </c>
      <c r="H27" s="15">
        <f t="shared" si="2"/>
        <v>5</v>
      </c>
    </row>
    <row r="28" spans="1:8" ht="16.2" thickBot="1" x14ac:dyDescent="0.35">
      <c r="A28">
        <v>27</v>
      </c>
      <c r="B28" s="2">
        <f ca="1">AVERAGE(OFFSET('n=1'!$B$1,(ROW()-2)*$P$2+1,0,$P$2,1))</f>
        <v>50.625</v>
      </c>
      <c r="C28" s="18">
        <f t="shared" ca="1" si="3"/>
        <v>6.875</v>
      </c>
      <c r="D28" s="1">
        <f t="shared" ca="1" si="0"/>
        <v>15.446428571428569</v>
      </c>
      <c r="E28" s="1">
        <f t="shared" ca="1" si="1"/>
        <v>48.446428571428569</v>
      </c>
      <c r="F28" s="1">
        <f t="shared" ca="1" si="4"/>
        <v>1.625</v>
      </c>
      <c r="G28" s="1">
        <f t="shared" ca="1" si="5"/>
        <v>0</v>
      </c>
      <c r="H28" s="15">
        <f t="shared" si="2"/>
        <v>5</v>
      </c>
    </row>
    <row r="29" spans="1:8" ht="16.2" thickBot="1" x14ac:dyDescent="0.35">
      <c r="A29">
        <v>28</v>
      </c>
      <c r="B29" s="2">
        <f ca="1">AVERAGE(OFFSET('n=1'!$B$1,(ROW()-2)*$P$2+1,0,$P$2,1))</f>
        <v>50.75</v>
      </c>
      <c r="C29" s="18">
        <f t="shared" ca="1" si="3"/>
        <v>7.625</v>
      </c>
      <c r="D29" s="1">
        <f t="shared" ca="1" si="0"/>
        <v>15.946428571428569</v>
      </c>
      <c r="E29" s="1">
        <f t="shared" ca="1" si="1"/>
        <v>47.946428571428569</v>
      </c>
      <c r="F29" s="1">
        <f t="shared" ca="1" si="4"/>
        <v>1.875</v>
      </c>
      <c r="G29" s="1">
        <f t="shared" ca="1" si="5"/>
        <v>0</v>
      </c>
      <c r="H29" s="15">
        <f t="shared" si="2"/>
        <v>5</v>
      </c>
    </row>
    <row r="30" spans="1:8" ht="16.2" thickBot="1" x14ac:dyDescent="0.35">
      <c r="A30">
        <v>29</v>
      </c>
      <c r="B30" s="2">
        <f ca="1">AVERAGE(OFFSET('n=1'!$B$1,(ROW()-2)*$P$2+1,0,$P$2,1))</f>
        <v>49.375</v>
      </c>
      <c r="C30" s="18">
        <f t="shared" ca="1" si="3"/>
        <v>7</v>
      </c>
      <c r="D30" s="1">
        <f t="shared" ca="1" si="0"/>
        <v>16.446428571428569</v>
      </c>
      <c r="E30" s="1">
        <f t="shared" ca="1" si="1"/>
        <v>47.446428571428569</v>
      </c>
      <c r="F30" s="1">
        <f t="shared" ca="1" si="4"/>
        <v>0.75</v>
      </c>
      <c r="G30" s="1">
        <f t="shared" ca="1" si="5"/>
        <v>0.125</v>
      </c>
      <c r="H30" s="15">
        <f t="shared" si="2"/>
        <v>5</v>
      </c>
    </row>
    <row r="31" spans="1:8" ht="16.2" thickBot="1" x14ac:dyDescent="0.35">
      <c r="A31">
        <v>30</v>
      </c>
      <c r="B31" s="2">
        <f ca="1">AVERAGE(OFFSET('n=1'!$B$1,(ROW()-2)*$P$2+1,0,$P$2,1))</f>
        <v>50.375</v>
      </c>
      <c r="C31" s="18">
        <f t="shared" ca="1" si="3"/>
        <v>7.375</v>
      </c>
      <c r="D31" s="1">
        <f t="shared" ca="1" si="0"/>
        <v>16.946428571428569</v>
      </c>
      <c r="E31" s="1">
        <f t="shared" ca="1" si="1"/>
        <v>46.946428571428569</v>
      </c>
      <c r="F31" s="1">
        <f t="shared" ca="1" si="4"/>
        <v>0.625</v>
      </c>
      <c r="G31" s="1">
        <f t="shared" ca="1" si="5"/>
        <v>0</v>
      </c>
      <c r="H31" s="15">
        <f t="shared" si="2"/>
        <v>5</v>
      </c>
    </row>
    <row r="32" spans="1:8" ht="16.2" thickBot="1" x14ac:dyDescent="0.35">
      <c r="A32">
        <v>31</v>
      </c>
      <c r="B32" s="2">
        <f ca="1">AVERAGE(OFFSET('n=1'!$B$1,(ROW()-2)*$P$2+1,0,$P$2,1))</f>
        <v>51.5</v>
      </c>
      <c r="C32" s="18">
        <f t="shared" ca="1" si="3"/>
        <v>8.875</v>
      </c>
      <c r="D32" s="1">
        <f t="shared" ca="1" si="0"/>
        <v>17.446428571428569</v>
      </c>
      <c r="E32" s="1">
        <f t="shared" ca="1" si="1"/>
        <v>46.446428571428569</v>
      </c>
      <c r="F32" s="1">
        <f t="shared" ca="1" si="4"/>
        <v>1.625</v>
      </c>
      <c r="G32" s="1">
        <f t="shared" ca="1" si="5"/>
        <v>0</v>
      </c>
      <c r="H32" s="15">
        <f t="shared" si="2"/>
        <v>5</v>
      </c>
    </row>
    <row r="33" spans="1:8" ht="16.2" thickBot="1" x14ac:dyDescent="0.35">
      <c r="A33">
        <v>32</v>
      </c>
      <c r="B33" s="2">
        <f ca="1">AVERAGE(OFFSET('n=1'!$B$1,(ROW()-2)*$P$2+1,0,$P$2,1))</f>
        <v>52.125</v>
      </c>
      <c r="C33" s="18">
        <f t="shared" ca="1" si="3"/>
        <v>11</v>
      </c>
      <c r="D33" s="1">
        <f t="shared" ca="1" si="0"/>
        <v>17.946428571428569</v>
      </c>
      <c r="E33" s="1">
        <f t="shared" ca="1" si="1"/>
        <v>45.946428571428569</v>
      </c>
      <c r="F33" s="1">
        <f t="shared" ca="1" si="4"/>
        <v>3.25</v>
      </c>
      <c r="G33" s="1">
        <f t="shared" ca="1" si="5"/>
        <v>0</v>
      </c>
      <c r="H33" s="15">
        <f t="shared" si="2"/>
        <v>5</v>
      </c>
    </row>
    <row r="34" spans="1:8" ht="16.2" thickBot="1" x14ac:dyDescent="0.35">
      <c r="A34">
        <v>33</v>
      </c>
      <c r="B34" s="2">
        <f ca="1">AVERAGE(OFFSET('n=1'!$B$1,(ROW()-2)*$P$2+1,0,$P$2,1))</f>
        <v>53.125</v>
      </c>
      <c r="C34" s="18">
        <f t="shared" ca="1" si="3"/>
        <v>14.125</v>
      </c>
      <c r="D34" s="1">
        <f t="shared" ca="1" si="0"/>
        <v>18.446428571428569</v>
      </c>
      <c r="E34" s="1">
        <f t="shared" ca="1" si="1"/>
        <v>45.446428571428569</v>
      </c>
      <c r="F34" s="1">
        <f t="shared" ca="1" si="4"/>
        <v>5.875</v>
      </c>
      <c r="G34" s="1">
        <f t="shared" ca="1" si="5"/>
        <v>0</v>
      </c>
      <c r="H34" s="15">
        <f t="shared" si="2"/>
        <v>5</v>
      </c>
    </row>
    <row r="35" spans="1:8" ht="16.2" thickBot="1" x14ac:dyDescent="0.35">
      <c r="A35">
        <v>34</v>
      </c>
      <c r="B35" s="2">
        <f ca="1">AVERAGE(OFFSET('n=1'!$B$1,(ROW()-2)*$P$2+1,0,$P$2,1))</f>
        <v>49.375</v>
      </c>
      <c r="C35" s="18">
        <f t="shared" ca="1" si="3"/>
        <v>13.5</v>
      </c>
      <c r="D35" s="1">
        <f t="shared" ca="1" si="0"/>
        <v>18.946428571428569</v>
      </c>
      <c r="E35" s="1">
        <f t="shared" ca="1" si="1"/>
        <v>44.946428571428569</v>
      </c>
      <c r="F35" s="1">
        <f t="shared" ca="1" si="4"/>
        <v>4.75</v>
      </c>
      <c r="G35" s="1">
        <f t="shared" ca="1" si="5"/>
        <v>0.125</v>
      </c>
      <c r="H35" s="15">
        <f t="shared" si="2"/>
        <v>5</v>
      </c>
    </row>
    <row r="36" spans="1:8" ht="16.2" thickBot="1" x14ac:dyDescent="0.35">
      <c r="A36">
        <v>35</v>
      </c>
      <c r="B36" s="2">
        <f ca="1">AVERAGE(OFFSET('n=1'!$B$1,(ROW()-2)*$P$2+1,0,$P$2,1))</f>
        <v>51.625</v>
      </c>
      <c r="C36" s="18">
        <f t="shared" ca="1" si="3"/>
        <v>15.125</v>
      </c>
      <c r="D36" s="1">
        <f t="shared" ca="1" si="0"/>
        <v>19.446428571428569</v>
      </c>
      <c r="E36" s="1">
        <f t="shared" ca="1" si="1"/>
        <v>44.446428571428569</v>
      </c>
      <c r="F36" s="1">
        <f t="shared" ca="1" si="4"/>
        <v>5.875</v>
      </c>
      <c r="G36" s="1">
        <f t="shared" ca="1" si="5"/>
        <v>0</v>
      </c>
      <c r="H36" s="15">
        <f t="shared" si="2"/>
        <v>5</v>
      </c>
    </row>
    <row r="37" spans="1:8" ht="16.2" thickBot="1" x14ac:dyDescent="0.35">
      <c r="A37">
        <v>36</v>
      </c>
      <c r="B37" s="2">
        <f ca="1">AVERAGE(OFFSET('n=1'!$B$1,(ROW()-2)*$P$2+1,0,$P$2,1))</f>
        <v>51</v>
      </c>
      <c r="C37" s="18">
        <f t="shared" ca="1" si="3"/>
        <v>16.125</v>
      </c>
      <c r="D37" s="1">
        <f t="shared" ca="1" si="0"/>
        <v>19.946428571428569</v>
      </c>
      <c r="E37" s="1">
        <f t="shared" ca="1" si="1"/>
        <v>43.946428571428569</v>
      </c>
      <c r="F37" s="1">
        <f t="shared" ca="1" si="4"/>
        <v>6.375</v>
      </c>
      <c r="G37" s="1">
        <f t="shared" ca="1" si="5"/>
        <v>0</v>
      </c>
      <c r="H37" s="15">
        <f t="shared" si="2"/>
        <v>5</v>
      </c>
    </row>
    <row r="38" spans="1:8" ht="16.2" thickBot="1" x14ac:dyDescent="0.35">
      <c r="A38">
        <v>37</v>
      </c>
      <c r="B38" s="2">
        <f ca="1">AVERAGE(OFFSET('n=1'!$B$1,(ROW()-2)*$P$2+1,0,$P$2,1))</f>
        <v>52.75</v>
      </c>
      <c r="C38" s="18">
        <f t="shared" ca="1" si="3"/>
        <v>18.875</v>
      </c>
      <c r="D38" s="1">
        <f t="shared" ca="1" si="0"/>
        <v>20.446428571428569</v>
      </c>
      <c r="E38" s="1">
        <f t="shared" ca="1" si="1"/>
        <v>43.446428571428569</v>
      </c>
      <c r="F38" s="1">
        <f t="shared" ca="1" si="4"/>
        <v>8.625</v>
      </c>
      <c r="G38" s="1">
        <f t="shared" ca="1" si="5"/>
        <v>0</v>
      </c>
      <c r="H38" s="15">
        <f t="shared" si="2"/>
        <v>5</v>
      </c>
    </row>
    <row r="39" spans="1:8" ht="16.2" thickBot="1" x14ac:dyDescent="0.35">
      <c r="A39">
        <v>38</v>
      </c>
      <c r="B39" s="2">
        <f ca="1">AVERAGE(OFFSET('n=1'!$B$1,(ROW()-2)*$P$2+1,0,$P$2,1))</f>
        <v>50.625</v>
      </c>
      <c r="C39" s="18">
        <f t="shared" ca="1" si="3"/>
        <v>19.5</v>
      </c>
      <c r="D39" s="1">
        <f t="shared" ca="1" si="0"/>
        <v>20.946428571428569</v>
      </c>
      <c r="E39" s="1">
        <f t="shared" ca="1" si="1"/>
        <v>42.946428571428569</v>
      </c>
      <c r="F39" s="1">
        <f t="shared" ca="1" si="4"/>
        <v>8.75</v>
      </c>
      <c r="G39" s="1">
        <f t="shared" ca="1" si="5"/>
        <v>0</v>
      </c>
      <c r="H39" s="15">
        <f t="shared" si="2"/>
        <v>5</v>
      </c>
    </row>
    <row r="40" spans="1:8" ht="16.2" thickBot="1" x14ac:dyDescent="0.35">
      <c r="A40">
        <v>39</v>
      </c>
      <c r="B40" s="2">
        <f ca="1">AVERAGE(OFFSET('n=1'!$B$1,(ROW()-2)*$P$2+1,0,$P$2,1))</f>
        <v>50.25</v>
      </c>
      <c r="C40" s="18">
        <f t="shared" ca="1" si="3"/>
        <v>19.75</v>
      </c>
      <c r="D40" s="1">
        <f t="shared" ca="1" si="0"/>
        <v>21.446428571428569</v>
      </c>
      <c r="E40" s="1">
        <f t="shared" ca="1" si="1"/>
        <v>42.446428571428569</v>
      </c>
      <c r="F40" s="1">
        <f t="shared" ca="1" si="4"/>
        <v>8.5</v>
      </c>
      <c r="G40" s="1">
        <f t="shared" ca="1" si="5"/>
        <v>0</v>
      </c>
      <c r="H40" s="15">
        <f t="shared" si="2"/>
        <v>5</v>
      </c>
    </row>
    <row r="41" spans="1:8" ht="16.2" thickBot="1" x14ac:dyDescent="0.35">
      <c r="A41">
        <v>40</v>
      </c>
      <c r="B41" s="2">
        <f ca="1">AVERAGE(OFFSET('n=1'!$B$1,(ROW()-2)*$P$2+1,0,$P$2,1))</f>
        <v>50.375</v>
      </c>
      <c r="C41" s="18">
        <f t="shared" ca="1" si="3"/>
        <v>20.125</v>
      </c>
      <c r="D41" s="1">
        <f t="shared" ca="1" si="0"/>
        <v>21.946428571428569</v>
      </c>
      <c r="E41" s="1">
        <f t="shared" ca="1" si="1"/>
        <v>41.946428571428569</v>
      </c>
      <c r="F41" s="1">
        <f t="shared" ca="1" si="4"/>
        <v>8.375</v>
      </c>
      <c r="G41" s="1">
        <f t="shared" ca="1" si="5"/>
        <v>0</v>
      </c>
      <c r="H41" s="15">
        <f t="shared" si="2"/>
        <v>5</v>
      </c>
    </row>
    <row r="42" spans="1:8" ht="16.2" thickBot="1" x14ac:dyDescent="0.35">
      <c r="A42">
        <v>41</v>
      </c>
      <c r="B42" s="2">
        <f ca="1">AVERAGE(OFFSET('n=1'!$B$1,(ROW()-2)*$P$2+1,0,$P$2,1))</f>
        <v>51.625</v>
      </c>
      <c r="C42" s="18">
        <f t="shared" ca="1" si="3"/>
        <v>21.75</v>
      </c>
      <c r="D42" s="1">
        <f t="shared" ca="1" si="0"/>
        <v>22.446428571428569</v>
      </c>
      <c r="E42" s="1">
        <f t="shared" ca="1" si="1"/>
        <v>41.446428571428569</v>
      </c>
      <c r="F42" s="1">
        <f t="shared" ca="1" si="4"/>
        <v>9.5</v>
      </c>
      <c r="G42" s="1">
        <f t="shared" ca="1" si="5"/>
        <v>0</v>
      </c>
      <c r="H42" s="15">
        <f t="shared" si="2"/>
        <v>5</v>
      </c>
    </row>
    <row r="43" spans="1:8" ht="16.2" thickBot="1" x14ac:dyDescent="0.35">
      <c r="A43">
        <v>42</v>
      </c>
      <c r="B43" s="2">
        <f ca="1">AVERAGE(OFFSET('n=1'!$B$1,(ROW()-2)*$P$2+1,0,$P$2,1))</f>
        <v>49</v>
      </c>
      <c r="C43" s="18">
        <f t="shared" ca="1" si="3"/>
        <v>20.75</v>
      </c>
      <c r="D43" s="1">
        <f t="shared" ca="1" si="0"/>
        <v>22.946428571428569</v>
      </c>
      <c r="E43" s="1">
        <f t="shared" ca="1" si="1"/>
        <v>40.946428571428569</v>
      </c>
      <c r="F43" s="1">
        <f t="shared" ca="1" si="4"/>
        <v>8</v>
      </c>
      <c r="G43" s="1">
        <f t="shared" ca="1" si="5"/>
        <v>0.5</v>
      </c>
      <c r="H43" s="15">
        <f t="shared" si="2"/>
        <v>5</v>
      </c>
    </row>
    <row r="44" spans="1:8" ht="16.2" thickBot="1" x14ac:dyDescent="0.35">
      <c r="A44">
        <v>43</v>
      </c>
      <c r="B44" s="2">
        <f ca="1">AVERAGE(OFFSET('n=1'!$B$1,(ROW()-2)*$P$2+1,0,$P$2,1))</f>
        <v>50.5</v>
      </c>
      <c r="C44" s="18">
        <f t="shared" ca="1" si="3"/>
        <v>21.25</v>
      </c>
      <c r="D44" s="1">
        <f t="shared" ca="1" si="0"/>
        <v>23.446428571428569</v>
      </c>
      <c r="E44" s="1">
        <f t="shared" ca="1" si="1"/>
        <v>40.446428571428569</v>
      </c>
      <c r="F44" s="1">
        <f t="shared" ca="1" si="4"/>
        <v>8</v>
      </c>
      <c r="G44" s="1">
        <f t="shared" ca="1" si="5"/>
        <v>0</v>
      </c>
      <c r="H44" s="15">
        <f t="shared" si="2"/>
        <v>5</v>
      </c>
    </row>
    <row r="45" spans="1:8" ht="16.2" thickBot="1" x14ac:dyDescent="0.35">
      <c r="A45">
        <v>44</v>
      </c>
      <c r="B45" s="2">
        <f ca="1">AVERAGE(OFFSET('n=1'!$B$1,(ROW()-2)*$P$2+1,0,$P$2,1))</f>
        <v>51</v>
      </c>
      <c r="C45" s="18">
        <f t="shared" ca="1" si="3"/>
        <v>22.25</v>
      </c>
      <c r="D45" s="1">
        <f t="shared" ca="1" si="0"/>
        <v>23.946428571428569</v>
      </c>
      <c r="E45" s="1">
        <f t="shared" ca="1" si="1"/>
        <v>39.946428571428569</v>
      </c>
      <c r="F45" s="1">
        <f t="shared" ca="1" si="4"/>
        <v>8.5</v>
      </c>
      <c r="G45" s="1">
        <f t="shared" ca="1" si="5"/>
        <v>0</v>
      </c>
      <c r="H45" s="15">
        <f t="shared" si="2"/>
        <v>5</v>
      </c>
    </row>
    <row r="46" spans="1:8" ht="16.2" thickBot="1" x14ac:dyDescent="0.35">
      <c r="A46">
        <v>45</v>
      </c>
      <c r="B46" s="2">
        <f ca="1">AVERAGE(OFFSET('n=1'!$B$1,(ROW()-2)*$P$2+1,0,$P$2,1))</f>
        <v>52</v>
      </c>
      <c r="C46" s="18">
        <f t="shared" ca="1" si="3"/>
        <v>24.25</v>
      </c>
      <c r="D46" s="1">
        <f t="shared" ca="1" si="0"/>
        <v>24.446428571428569</v>
      </c>
      <c r="E46" s="1">
        <f t="shared" ca="1" si="1"/>
        <v>39.446428571428569</v>
      </c>
      <c r="F46" s="1">
        <f t="shared" ca="1" si="4"/>
        <v>10</v>
      </c>
      <c r="G46" s="1">
        <f t="shared" ca="1" si="5"/>
        <v>0</v>
      </c>
      <c r="H46" s="15">
        <f t="shared" si="2"/>
        <v>5</v>
      </c>
    </row>
    <row r="47" spans="1:8" ht="16.2" thickBot="1" x14ac:dyDescent="0.35">
      <c r="A47">
        <v>46</v>
      </c>
      <c r="B47" s="2">
        <f ca="1">AVERAGE(OFFSET('n=1'!$B$1,(ROW()-2)*$P$2+1,0,$P$2,1))</f>
        <v>53.125</v>
      </c>
      <c r="C47" s="18">
        <f t="shared" ca="1" si="3"/>
        <v>27.375</v>
      </c>
      <c r="D47" s="1">
        <f t="shared" ca="1" si="0"/>
        <v>24.946428571428569</v>
      </c>
      <c r="E47" s="1">
        <f t="shared" ca="1" si="1"/>
        <v>38.946428571428569</v>
      </c>
      <c r="F47" s="1">
        <f t="shared" ca="1" si="4"/>
        <v>12.625</v>
      </c>
      <c r="G47" s="1">
        <f t="shared" ca="1" si="5"/>
        <v>0</v>
      </c>
      <c r="H47" s="15">
        <f t="shared" si="2"/>
        <v>5</v>
      </c>
    </row>
    <row r="48" spans="1:8" ht="16.2" thickBot="1" x14ac:dyDescent="0.35">
      <c r="A48">
        <v>47</v>
      </c>
      <c r="B48" s="2">
        <f ca="1">AVERAGE(OFFSET('n=1'!$B$1,(ROW()-2)*$P$2+1,0,$P$2,1))</f>
        <v>52.875</v>
      </c>
      <c r="C48" s="18">
        <f t="shared" ca="1" si="3"/>
        <v>30.25</v>
      </c>
      <c r="D48" s="1">
        <f t="shared" ca="1" si="0"/>
        <v>25.446428571428569</v>
      </c>
      <c r="E48" s="1">
        <f t="shared" ca="1" si="1"/>
        <v>38.446428571428569</v>
      </c>
      <c r="F48" s="1">
        <f t="shared" ca="1" si="4"/>
        <v>15</v>
      </c>
      <c r="G48" s="1">
        <f t="shared" ca="1" si="5"/>
        <v>0</v>
      </c>
      <c r="H48" s="15">
        <f t="shared" si="2"/>
        <v>5</v>
      </c>
    </row>
    <row r="49" spans="1:8" ht="16.2" thickBot="1" x14ac:dyDescent="0.35">
      <c r="A49">
        <v>48</v>
      </c>
      <c r="B49" s="2">
        <f ca="1">AVERAGE(OFFSET('n=1'!$B$1,(ROW()-2)*$P$2+1,0,$P$2,1))</f>
        <v>51.125</v>
      </c>
      <c r="C49" s="18">
        <f t="shared" ca="1" si="3"/>
        <v>31.375</v>
      </c>
      <c r="D49" s="1">
        <f t="shared" ca="1" si="0"/>
        <v>25.946428571428569</v>
      </c>
      <c r="E49" s="1">
        <f t="shared" ca="1" si="1"/>
        <v>37.946428571428569</v>
      </c>
      <c r="F49" s="1">
        <f t="shared" ca="1" si="4"/>
        <v>15.625</v>
      </c>
      <c r="G49" s="1">
        <f t="shared" ca="1" si="5"/>
        <v>0</v>
      </c>
      <c r="H49" s="15">
        <f t="shared" si="2"/>
        <v>5</v>
      </c>
    </row>
    <row r="50" spans="1:8" ht="16.2" thickBot="1" x14ac:dyDescent="0.35">
      <c r="A50">
        <v>49</v>
      </c>
      <c r="B50" s="2">
        <f ca="1">AVERAGE(OFFSET('n=1'!$B$1,(ROW()-2)*$P$2+1,0,$P$2,1))</f>
        <v>50</v>
      </c>
      <c r="C50" s="18">
        <f t="shared" ca="1" si="3"/>
        <v>31.375</v>
      </c>
      <c r="D50" s="1">
        <f ca="1">D51-$M$2</f>
        <v>26.446428571428569</v>
      </c>
      <c r="E50" s="1">
        <f ca="1">E51+$M$2</f>
        <v>37.446428571428569</v>
      </c>
      <c r="F50" s="1">
        <f t="shared" ca="1" si="4"/>
        <v>15.125</v>
      </c>
      <c r="G50" s="1">
        <f t="shared" ca="1" si="5"/>
        <v>0</v>
      </c>
      <c r="H50" s="15">
        <f t="shared" si="2"/>
        <v>5</v>
      </c>
    </row>
    <row r="51" spans="1:8" ht="16.2" thickBot="1" x14ac:dyDescent="0.35">
      <c r="A51">
        <v>50</v>
      </c>
      <c r="B51" s="2">
        <f ca="1">AVERAGE(OFFSET('n=1'!$B$1,(ROW()-2)*$P$2+1,0,$P$2,1))</f>
        <v>50.571428571428569</v>
      </c>
      <c r="C51" s="18">
        <f t="shared" ca="1" si="3"/>
        <v>31.946428571428569</v>
      </c>
      <c r="D51" s="4">
        <f ca="1">C51-$O$2</f>
        <v>26.946428571428569</v>
      </c>
      <c r="E51" s="4">
        <f ca="1">C51+$O$2</f>
        <v>36.946428571428569</v>
      </c>
      <c r="F51" s="1">
        <f t="shared" ca="1" si="4"/>
        <v>15.196428571428569</v>
      </c>
      <c r="G51" s="1">
        <f t="shared" ca="1" si="5"/>
        <v>0</v>
      </c>
      <c r="H51" s="15">
        <f t="shared" si="2"/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004E-B10F-CC49-87D2-7424049FADB9}">
  <dimension ref="A1:J7"/>
  <sheetViews>
    <sheetView tabSelected="1" zoomScale="73" workbookViewId="0">
      <selection activeCell="I4" sqref="I4"/>
    </sheetView>
  </sheetViews>
  <sheetFormatPr baseColWidth="10" defaultRowHeight="15.6" x14ac:dyDescent="0.3"/>
  <cols>
    <col min="3" max="3" width="11.19921875" bestFit="1" customWidth="1"/>
  </cols>
  <sheetData>
    <row r="1" spans="1:10" ht="16.2" thickBot="1" x14ac:dyDescent="0.35">
      <c r="A1" s="19" t="s">
        <v>9</v>
      </c>
      <c r="B1" s="20"/>
      <c r="C1" s="21" t="s">
        <v>12</v>
      </c>
      <c r="D1" s="22"/>
      <c r="E1" s="22"/>
      <c r="F1" s="23"/>
    </row>
    <row r="2" spans="1:10" ht="93" thickBot="1" x14ac:dyDescent="4.6500000000000004">
      <c r="A2" s="6" t="s">
        <v>10</v>
      </c>
      <c r="B2" s="7" t="s">
        <v>11</v>
      </c>
      <c r="C2" s="8">
        <v>1</v>
      </c>
      <c r="D2" s="8">
        <v>2</v>
      </c>
      <c r="E2" s="8">
        <v>4</v>
      </c>
      <c r="F2" s="9">
        <v>8</v>
      </c>
      <c r="H2" s="10"/>
    </row>
    <row r="3" spans="1:10" x14ac:dyDescent="0.3">
      <c r="A3" s="1">
        <v>0</v>
      </c>
      <c r="B3" s="2">
        <v>1</v>
      </c>
      <c r="C3">
        <f>1/(1-((_xlfn.NORM.S.DIST((3-$A3*SQRT(C$2)/$B3),TRUE))-_xlfn.NORM.S.DIST((-3-$A3*SQRT(C$2)/$B3),TRUE)))</f>
        <v>370.39834734495639</v>
      </c>
      <c r="D3">
        <f t="shared" ref="D3:F7" si="0">1/(1-((_xlfn.NORM.S.DIST((3-$A3*SQRT(D$2)/$B3),TRUE))-_xlfn.NORM.S.DIST((-3-$A3*SQRT(D$2)/$B3),TRUE)))</f>
        <v>370.39834734495639</v>
      </c>
      <c r="E3">
        <f t="shared" si="0"/>
        <v>370.39834734495639</v>
      </c>
      <c r="F3">
        <f>1/(1-((_xlfn.NORM.S.DIST((3-$A3*SQRT(F$2)/$B3),TRUE))-_xlfn.NORM.S.DIST((-3-$A3*SQRT(F$2)/$B3),TRUE)))</f>
        <v>370.39834734495639</v>
      </c>
    </row>
    <row r="4" spans="1:10" x14ac:dyDescent="0.3">
      <c r="A4" s="3">
        <f>1/2</f>
        <v>0.5</v>
      </c>
      <c r="B4" s="2">
        <v>1</v>
      </c>
      <c r="C4">
        <f t="shared" ref="C4:C7" si="1">1/(1-((_xlfn.NORM.S.DIST((3-$A4*SQRT(C$2)/$B4),TRUE))-_xlfn.NORM.S.DIST((-3-$A4*SQRT(C$2)/$B4),TRUE)))</f>
        <v>155.22420075262437</v>
      </c>
      <c r="D4">
        <f t="shared" si="0"/>
        <v>90.646241958283397</v>
      </c>
      <c r="E4">
        <f t="shared" si="0"/>
        <v>43.894681718539545</v>
      </c>
      <c r="F4">
        <f t="shared" si="0"/>
        <v>17.730826383311708</v>
      </c>
      <c r="I4">
        <f>_xlfn.NORM.S.DIST(0,FALSE)</f>
        <v>0.3989422804014327</v>
      </c>
      <c r="J4">
        <f>_xlfn.NORM.S.DIST(0,TRUE)</f>
        <v>0.5</v>
      </c>
    </row>
    <row r="5" spans="1:10" x14ac:dyDescent="0.3">
      <c r="A5" s="1">
        <v>1</v>
      </c>
      <c r="B5" s="2">
        <v>1</v>
      </c>
      <c r="C5">
        <f t="shared" si="1"/>
        <v>43.894681718539545</v>
      </c>
      <c r="D5">
        <f t="shared" si="0"/>
        <v>17.730826383311708</v>
      </c>
      <c r="E5">
        <f t="shared" si="0"/>
        <v>6.3029629871430304</v>
      </c>
      <c r="F5">
        <f t="shared" si="0"/>
        <v>2.3154222401091973</v>
      </c>
    </row>
    <row r="6" spans="1:10" x14ac:dyDescent="0.3">
      <c r="A6" s="1">
        <f>1+1/2</f>
        <v>1.5</v>
      </c>
      <c r="B6" s="2">
        <v>1</v>
      </c>
      <c r="C6">
        <f t="shared" si="1"/>
        <v>14.967685005613896</v>
      </c>
      <c r="D6">
        <f t="shared" si="0"/>
        <v>5.2690468109790416</v>
      </c>
      <c r="E6">
        <f t="shared" si="0"/>
        <v>1.9999999960536492</v>
      </c>
      <c r="F6">
        <f t="shared" si="0"/>
        <v>1.119820997745322</v>
      </c>
    </row>
    <row r="7" spans="1:10" ht="16.2" thickBot="1" x14ac:dyDescent="0.35">
      <c r="A7" s="4">
        <v>2</v>
      </c>
      <c r="B7" s="5">
        <v>1</v>
      </c>
      <c r="C7">
        <f t="shared" si="1"/>
        <v>6.3029629871430304</v>
      </c>
      <c r="D7">
        <f t="shared" si="0"/>
        <v>2.3154222401091973</v>
      </c>
      <c r="E7">
        <f t="shared" si="0"/>
        <v>1.1885734173432521</v>
      </c>
      <c r="F7">
        <f t="shared" si="0"/>
        <v>1.0039592909087818</v>
      </c>
    </row>
  </sheetData>
  <mergeCells count="2">
    <mergeCell ref="A1:B1"/>
    <mergeCell ref="C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n=1</vt:lpstr>
      <vt:lpstr>n=2</vt:lpstr>
      <vt:lpstr>n=4</vt:lpstr>
      <vt:lpstr>n=8</vt:lpstr>
      <vt:lpstr>ARL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Robbes</dc:creator>
  <cp:lastModifiedBy>Léo COURBET</cp:lastModifiedBy>
  <dcterms:created xsi:type="dcterms:W3CDTF">2026-06-02T14:58:00Z</dcterms:created>
  <dcterms:modified xsi:type="dcterms:W3CDTF">2026-06-03T03:40:29Z</dcterms:modified>
</cp:coreProperties>
</file>